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Inputs" sheetId="2" r:id="rId5"/>
    <sheet state="visible" name="Resources" sheetId="3" r:id="rId6"/>
    <sheet state="visible" name="Scenarios" sheetId="4" r:id="rId7"/>
    <sheet state="visible" name="Team Summary" sheetId="5" r:id="rId8"/>
    <sheet state="visible" name="JR Example" sheetId="6" r:id="rId9"/>
  </sheets>
  <definedNames/>
  <calcPr/>
  <extLst>
    <ext uri="GoogleSheetsCustomDataVersion2">
      <go:sheetsCustomData xmlns:go="http://customooxmlschemas.google.com/" r:id="rId10" roundtripDataChecksum="Onw+KTAwJiHumvuztTvm9ZB/7BoO/BGs/PFETnH6aIY="/>
    </ext>
  </extLst>
</workbook>
</file>

<file path=xl/sharedStrings.xml><?xml version="1.0" encoding="utf-8"?>
<sst xmlns="http://schemas.openxmlformats.org/spreadsheetml/2006/main" count="74" uniqueCount="65">
  <si>
    <t>Resource Utilization &amp; Cost Calculator (J&amp;B LLC) — SAMPLE FILLED</t>
  </si>
  <si>
    <t>This workbook is pre-populated with example data so you can see calculations immediately.</t>
  </si>
  <si>
    <t>Tabs: Inputs, Resources, Scenarios, Team Summary, JR Example</t>
  </si>
  <si>
    <t>Monthly Operating (Indirect) Costs ($)</t>
  </si>
  <si>
    <t>Target Gross Margin % (e.g., 0.5 for 50%)</t>
  </si>
  <si>
    <t>Resource Name</t>
  </si>
  <si>
    <t>Type (Salaried/Hourly)</t>
  </si>
  <si>
    <t>Paid Hours/Week</t>
  </si>
  <si>
    <t>Annual All-in Cost ($)</t>
  </si>
  <si>
    <t>Hourly Cost ($)</t>
  </si>
  <si>
    <t>Weekly Cost ($)</t>
  </si>
  <si>
    <t>Cost per Paid Hour ($)</t>
  </si>
  <si>
    <t>Billable Rate ($/hr)</t>
  </si>
  <si>
    <t>Billed Hours/Week</t>
  </si>
  <si>
    <t>Revenue This Week ($)</t>
  </si>
  <si>
    <t>Idle Hours</t>
  </si>
  <si>
    <t>Idle Labor Cost ($)</t>
  </si>
  <si>
    <t>Overhead per Paid Hour ($)</t>
  </si>
  <si>
    <t>Weekly Overhead Cost ($)</t>
  </si>
  <si>
    <t>Total Weekly Cost ($)</t>
  </si>
  <si>
    <t>Profit This Week ($)</t>
  </si>
  <si>
    <t>Gross Margin %</t>
  </si>
  <si>
    <t>Utilization (Billed/Paid)</t>
  </si>
  <si>
    <t>Potential Revenue @100% ($)</t>
  </si>
  <si>
    <t>Revenue Lost from Idle ($)</t>
  </si>
  <si>
    <t>Profit @100% ($)</t>
  </si>
  <si>
    <t>Margin @100%</t>
  </si>
  <si>
    <t>Rate Floor @Current Util ($/hr)</t>
  </si>
  <si>
    <t>Austin (Tech I)</t>
  </si>
  <si>
    <t>Hourly</t>
  </si>
  <si>
    <t>Maria (PM)</t>
  </si>
  <si>
    <t>Salaried</t>
  </si>
  <si>
    <t>DeShawn (Installer)</t>
  </si>
  <si>
    <t>Priya (Engineer)</t>
  </si>
  <si>
    <t>Sam (Apprentice)</t>
  </si>
  <si>
    <t>Kelly (Billing/Admin)</t>
  </si>
  <si>
    <t>Bill Rate</t>
  </si>
  <si>
    <t>Paid Hours</t>
  </si>
  <si>
    <t>Cost/hr</t>
  </si>
  <si>
    <t>Overhead/hr</t>
  </si>
  <si>
    <t>Total Cost/Week</t>
  </si>
  <si>
    <t>Billed Hours</t>
  </si>
  <si>
    <t>Revenue</t>
  </si>
  <si>
    <t>Profit</t>
  </si>
  <si>
    <t>Metric</t>
  </si>
  <si>
    <t>Value</t>
  </si>
  <si>
    <t>Total Paid Hours/Week</t>
  </si>
  <si>
    <t>Total Billed Hours/Week</t>
  </si>
  <si>
    <t>Team Utilization %</t>
  </si>
  <si>
    <t>Total Revenue (This Week)</t>
  </si>
  <si>
    <t>Total Weekly Cost (Labor + Overhead)</t>
  </si>
  <si>
    <t>Total Profit (This Week)</t>
  </si>
  <si>
    <t>Potential Revenue @100%</t>
  </si>
  <si>
    <t>Revenue Lost from Idle</t>
  </si>
  <si>
    <t>Profit @100%</t>
  </si>
  <si>
    <t>Name</t>
  </si>
  <si>
    <t>Paid Hours (day)</t>
  </si>
  <si>
    <t>Billed Hours (day)</t>
  </si>
  <si>
    <t>Bill Rate ($/hr)</t>
  </si>
  <si>
    <t>Overhead/hr ($)</t>
  </si>
  <si>
    <t>Daily Revenue</t>
  </si>
  <si>
    <t>Daily Cost (Labor+OH)</t>
  </si>
  <si>
    <t>Daily Profit</t>
  </si>
  <si>
    <t>Margin %</t>
  </si>
  <si>
    <t>Austin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</si>
</sst>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92B3"/>
        <bgColor rgb="FF2F92B3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3">
      <c r="A3" s="1" t="s">
        <v>1</v>
      </c>
    </row>
    <row r="5">
      <c r="A5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57"/>
    <col customWidth="1" min="2" max="26" width="8.71"/>
  </cols>
  <sheetData>
    <row r="1">
      <c r="A1" s="2" t="s">
        <v>3</v>
      </c>
      <c r="B1" s="2">
        <v>30000.0</v>
      </c>
    </row>
    <row r="2">
      <c r="A2" s="1" t="s">
        <v>4</v>
      </c>
      <c r="B2" s="1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14.0"/>
    <col customWidth="1" min="4" max="4" width="18.0"/>
    <col customWidth="1" min="5" max="6" width="14.0"/>
    <col customWidth="1" min="7" max="7" width="16.0"/>
    <col customWidth="1" min="8" max="8" width="14.0"/>
    <col customWidth="1" min="9" max="9" width="16.0"/>
    <col customWidth="1" min="10" max="10" width="18.0"/>
    <col customWidth="1" min="11" max="11" width="11.0"/>
    <col customWidth="1" min="12" max="12" width="18.0"/>
    <col customWidth="1" min="13" max="14" width="20.0"/>
    <col customWidth="1" min="15" max="16" width="18.0"/>
    <col customWidth="1" min="17" max="17" width="14.0"/>
    <col customWidth="1" min="18" max="18" width="18.0"/>
    <col customWidth="1" min="19" max="20" width="22.0"/>
    <col customWidth="1" min="21" max="21" width="18.0"/>
    <col customWidth="1" min="22" max="22" width="14.0"/>
    <col customWidth="1" min="23" max="23" width="24.0"/>
    <col customWidth="1" min="24" max="26" width="8.71"/>
  </cols>
  <sheetData>
    <row r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</row>
    <row r="2">
      <c r="A2" s="4" t="s">
        <v>28</v>
      </c>
      <c r="B2" s="4" t="s">
        <v>29</v>
      </c>
      <c r="C2" s="4">
        <v>40.0</v>
      </c>
      <c r="D2" s="4"/>
      <c r="E2" s="4">
        <v>35.0</v>
      </c>
      <c r="F2" s="4">
        <f t="shared" ref="F2:F50" si="1">IF(B2="Salaried",D2/52,E2*C2)</f>
        <v>1400</v>
      </c>
      <c r="G2" s="4">
        <f t="shared" ref="G2:G50" si="2">IF(C2&gt;0,F2/C2,0)</f>
        <v>35</v>
      </c>
      <c r="H2" s="4">
        <v>125.0</v>
      </c>
      <c r="I2" s="4">
        <v>27.5</v>
      </c>
      <c r="J2" s="4">
        <f t="shared" ref="J2:J50" si="3">H2*I2</f>
        <v>3437.5</v>
      </c>
      <c r="K2" s="4">
        <f t="shared" ref="K2:K50" si="4">C2-I2</f>
        <v>12.5</v>
      </c>
      <c r="L2" s="4">
        <f t="shared" ref="L2:L50" si="5">K2*G2</f>
        <v>437.5</v>
      </c>
      <c r="M2" s="4">
        <f>IF(SUM(C:C)&gt;0,(Inputs!B1*12/52)/SUM(C:C),0)</f>
        <v>28.84615385</v>
      </c>
      <c r="N2" s="4">
        <f t="shared" ref="N2:N50" si="6">C2*M2</f>
        <v>1153.846154</v>
      </c>
      <c r="O2" s="4">
        <f t="shared" ref="O2:O50" si="7">F2+N2</f>
        <v>2553.846154</v>
      </c>
      <c r="P2" s="4">
        <f t="shared" ref="P2:P50" si="8">J2-O2</f>
        <v>883.6538462</v>
      </c>
      <c r="Q2" s="4">
        <f t="shared" ref="Q2:Q50" si="9">IF(J2&gt;0,P2/J2,0)</f>
        <v>0.2570629371</v>
      </c>
      <c r="R2" s="4">
        <f t="shared" ref="R2:R50" si="10">IF(C2&gt;0,I2/C2,0)</f>
        <v>0.6875</v>
      </c>
      <c r="S2" s="4">
        <f t="shared" ref="S2:S50" si="11">H2*C2</f>
        <v>5000</v>
      </c>
      <c r="T2" s="4">
        <f t="shared" ref="T2:T50" si="12">S2-J2</f>
        <v>1562.5</v>
      </c>
      <c r="U2" s="4">
        <f t="shared" ref="U2:U50" si="13">S2-O2</f>
        <v>2446.153846</v>
      </c>
      <c r="V2" s="4">
        <f t="shared" ref="V2:V50" si="14">IF(S2&gt;0,U2/S2,0)</f>
        <v>0.4892307692</v>
      </c>
      <c r="W2" s="1">
        <f>IF(R2&gt;0, ((G2+M2)/R2)/(1-Inputs!B2), 0)</f>
        <v>185.7342657</v>
      </c>
    </row>
    <row r="3">
      <c r="A3" s="4" t="s">
        <v>30</v>
      </c>
      <c r="B3" s="4" t="s">
        <v>31</v>
      </c>
      <c r="C3" s="4">
        <v>40.0</v>
      </c>
      <c r="D3" s="4">
        <v>98800.0</v>
      </c>
      <c r="E3" s="4"/>
      <c r="F3" s="4">
        <f t="shared" si="1"/>
        <v>1900</v>
      </c>
      <c r="G3" s="4">
        <f t="shared" si="2"/>
        <v>47.5</v>
      </c>
      <c r="H3" s="4">
        <v>150.0</v>
      </c>
      <c r="I3" s="4">
        <v>32.0</v>
      </c>
      <c r="J3" s="4">
        <f t="shared" si="3"/>
        <v>4800</v>
      </c>
      <c r="K3" s="4">
        <f t="shared" si="4"/>
        <v>8</v>
      </c>
      <c r="L3" s="4">
        <f t="shared" si="5"/>
        <v>380</v>
      </c>
      <c r="M3" s="4">
        <f>IF(SUM(C:C)&gt;0,(Inputs!B1*12/52)/SUM(C:C),0)</f>
        <v>28.84615385</v>
      </c>
      <c r="N3" s="4">
        <f t="shared" si="6"/>
        <v>1153.846154</v>
      </c>
      <c r="O3" s="4">
        <f t="shared" si="7"/>
        <v>3053.846154</v>
      </c>
      <c r="P3" s="4">
        <f t="shared" si="8"/>
        <v>1746.153846</v>
      </c>
      <c r="Q3" s="4">
        <f t="shared" si="9"/>
        <v>0.3637820513</v>
      </c>
      <c r="R3" s="4">
        <f t="shared" si="10"/>
        <v>0.8</v>
      </c>
      <c r="S3" s="4">
        <f t="shared" si="11"/>
        <v>6000</v>
      </c>
      <c r="T3" s="4">
        <f t="shared" si="12"/>
        <v>1200</v>
      </c>
      <c r="U3" s="4">
        <f t="shared" si="13"/>
        <v>2946.153846</v>
      </c>
      <c r="V3" s="4">
        <f t="shared" si="14"/>
        <v>0.491025641</v>
      </c>
      <c r="W3" s="1">
        <f>IF(R3&gt;0, ((G3+M3)/R3)/(1-Inputs!B2), 0)</f>
        <v>190.8653846</v>
      </c>
    </row>
    <row r="4">
      <c r="A4" s="4" t="s">
        <v>32</v>
      </c>
      <c r="B4" s="4" t="s">
        <v>29</v>
      </c>
      <c r="C4" s="4">
        <v>40.0</v>
      </c>
      <c r="D4" s="4"/>
      <c r="E4" s="4">
        <v>28.0</v>
      </c>
      <c r="F4" s="4">
        <f t="shared" si="1"/>
        <v>1120</v>
      </c>
      <c r="G4" s="4">
        <f t="shared" si="2"/>
        <v>28</v>
      </c>
      <c r="H4" s="4">
        <v>110.0</v>
      </c>
      <c r="I4" s="4">
        <v>22.0</v>
      </c>
      <c r="J4" s="4">
        <f t="shared" si="3"/>
        <v>2420</v>
      </c>
      <c r="K4" s="4">
        <f t="shared" si="4"/>
        <v>18</v>
      </c>
      <c r="L4" s="4">
        <f t="shared" si="5"/>
        <v>504</v>
      </c>
      <c r="M4" s="4">
        <f>IF(SUM(C:C)&gt;0,(Inputs!B1*12/52)/SUM(C:C),0)</f>
        <v>28.84615385</v>
      </c>
      <c r="N4" s="4">
        <f t="shared" si="6"/>
        <v>1153.846154</v>
      </c>
      <c r="O4" s="4">
        <f t="shared" si="7"/>
        <v>2273.846154</v>
      </c>
      <c r="P4" s="4">
        <f t="shared" si="8"/>
        <v>146.1538462</v>
      </c>
      <c r="Q4" s="4">
        <f t="shared" si="9"/>
        <v>0.0603941513</v>
      </c>
      <c r="R4" s="4">
        <f t="shared" si="10"/>
        <v>0.55</v>
      </c>
      <c r="S4" s="4">
        <f t="shared" si="11"/>
        <v>4400</v>
      </c>
      <c r="T4" s="4">
        <f t="shared" si="12"/>
        <v>1980</v>
      </c>
      <c r="U4" s="4">
        <f t="shared" si="13"/>
        <v>2126.153846</v>
      </c>
      <c r="V4" s="4">
        <f t="shared" si="14"/>
        <v>0.4832167832</v>
      </c>
      <c r="W4" s="1">
        <f>IF(R4&gt;0, ((G4+M4)/R4)/(1-Inputs!B2), 0)</f>
        <v>206.7132867</v>
      </c>
    </row>
    <row r="5">
      <c r="A5" s="4" t="s">
        <v>33</v>
      </c>
      <c r="B5" s="4" t="s">
        <v>31</v>
      </c>
      <c r="C5" s="4">
        <v>40.0</v>
      </c>
      <c r="D5" s="4">
        <v>156000.0</v>
      </c>
      <c r="E5" s="4"/>
      <c r="F5" s="4">
        <f t="shared" si="1"/>
        <v>3000</v>
      </c>
      <c r="G5" s="4">
        <f t="shared" si="2"/>
        <v>75</v>
      </c>
      <c r="H5" s="4">
        <v>185.0</v>
      </c>
      <c r="I5" s="4">
        <v>34.0</v>
      </c>
      <c r="J5" s="4">
        <f t="shared" si="3"/>
        <v>6290</v>
      </c>
      <c r="K5" s="4">
        <f t="shared" si="4"/>
        <v>6</v>
      </c>
      <c r="L5" s="4">
        <f t="shared" si="5"/>
        <v>450</v>
      </c>
      <c r="M5" s="4">
        <f>IF(SUM(C:C)&gt;0,(Inputs!B1*12/52)/SUM(C:C),0)</f>
        <v>28.84615385</v>
      </c>
      <c r="N5" s="4">
        <f t="shared" si="6"/>
        <v>1153.846154</v>
      </c>
      <c r="O5" s="4">
        <f t="shared" si="7"/>
        <v>4153.846154</v>
      </c>
      <c r="P5" s="4">
        <f t="shared" si="8"/>
        <v>2136.153846</v>
      </c>
      <c r="Q5" s="4">
        <f t="shared" si="9"/>
        <v>0.3396111043</v>
      </c>
      <c r="R5" s="4">
        <f t="shared" si="10"/>
        <v>0.85</v>
      </c>
      <c r="S5" s="4">
        <f t="shared" si="11"/>
        <v>7400</v>
      </c>
      <c r="T5" s="4">
        <f t="shared" si="12"/>
        <v>1110</v>
      </c>
      <c r="U5" s="4">
        <f t="shared" si="13"/>
        <v>3246.153846</v>
      </c>
      <c r="V5" s="4">
        <f t="shared" si="14"/>
        <v>0.4386694387</v>
      </c>
      <c r="W5" s="1">
        <f>IF(R5&gt;0, ((G5+M5)/R5)/(1-Inputs!B2), 0)</f>
        <v>244.3438914</v>
      </c>
    </row>
    <row r="6">
      <c r="A6" s="4" t="s">
        <v>34</v>
      </c>
      <c r="B6" s="4" t="s">
        <v>29</v>
      </c>
      <c r="C6" s="4">
        <v>40.0</v>
      </c>
      <c r="D6" s="4"/>
      <c r="E6" s="4">
        <v>22.0</v>
      </c>
      <c r="F6" s="4">
        <f t="shared" si="1"/>
        <v>880</v>
      </c>
      <c r="G6" s="4">
        <f t="shared" si="2"/>
        <v>22</v>
      </c>
      <c r="H6" s="4">
        <v>85.0</v>
      </c>
      <c r="I6" s="4">
        <v>18.0</v>
      </c>
      <c r="J6" s="4">
        <f t="shared" si="3"/>
        <v>1530</v>
      </c>
      <c r="K6" s="4">
        <f t="shared" si="4"/>
        <v>22</v>
      </c>
      <c r="L6" s="4">
        <f t="shared" si="5"/>
        <v>484</v>
      </c>
      <c r="M6" s="4">
        <f>IF(SUM(C:C)&gt;0,(Inputs!B1*12/52)/SUM(C:C),0)</f>
        <v>28.84615385</v>
      </c>
      <c r="N6" s="4">
        <f t="shared" si="6"/>
        <v>1153.846154</v>
      </c>
      <c r="O6" s="4">
        <f t="shared" si="7"/>
        <v>2033.846154</v>
      </c>
      <c r="P6" s="4">
        <f t="shared" si="8"/>
        <v>-503.8461538</v>
      </c>
      <c r="Q6" s="4">
        <f t="shared" si="9"/>
        <v>-0.3293112117</v>
      </c>
      <c r="R6" s="4">
        <f t="shared" si="10"/>
        <v>0.45</v>
      </c>
      <c r="S6" s="4">
        <f t="shared" si="11"/>
        <v>3400</v>
      </c>
      <c r="T6" s="4">
        <f t="shared" si="12"/>
        <v>1870</v>
      </c>
      <c r="U6" s="4">
        <f t="shared" si="13"/>
        <v>1366.153846</v>
      </c>
      <c r="V6" s="4">
        <f t="shared" si="14"/>
        <v>0.4018099548</v>
      </c>
      <c r="W6" s="1">
        <f>IF(R6&gt;0, ((G6+M6)/R6)/(1-Inputs!B2), 0)</f>
        <v>225.982906</v>
      </c>
    </row>
    <row r="7">
      <c r="A7" s="4" t="s">
        <v>35</v>
      </c>
      <c r="B7" s="4" t="s">
        <v>31</v>
      </c>
      <c r="C7" s="4">
        <v>40.0</v>
      </c>
      <c r="D7" s="4">
        <v>62400.0</v>
      </c>
      <c r="E7" s="4"/>
      <c r="F7" s="4">
        <f t="shared" si="1"/>
        <v>1200</v>
      </c>
      <c r="G7" s="4">
        <f t="shared" si="2"/>
        <v>30</v>
      </c>
      <c r="H7" s="4">
        <v>0.0</v>
      </c>
      <c r="I7" s="4">
        <v>0.0</v>
      </c>
      <c r="J7" s="4">
        <f t="shared" si="3"/>
        <v>0</v>
      </c>
      <c r="K7" s="4">
        <f t="shared" si="4"/>
        <v>40</v>
      </c>
      <c r="L7" s="4">
        <f t="shared" si="5"/>
        <v>1200</v>
      </c>
      <c r="M7" s="4">
        <f>IF(SUM(C:C)&gt;0,(Inputs!B1*12/52)/SUM(C:C),0)</f>
        <v>28.84615385</v>
      </c>
      <c r="N7" s="4">
        <f t="shared" si="6"/>
        <v>1153.846154</v>
      </c>
      <c r="O7" s="4">
        <f t="shared" si="7"/>
        <v>2353.846154</v>
      </c>
      <c r="P7" s="4">
        <f t="shared" si="8"/>
        <v>-2353.846154</v>
      </c>
      <c r="Q7" s="4">
        <f t="shared" si="9"/>
        <v>0</v>
      </c>
      <c r="R7" s="4">
        <f t="shared" si="10"/>
        <v>0</v>
      </c>
      <c r="S7" s="4">
        <f t="shared" si="11"/>
        <v>0</v>
      </c>
      <c r="T7" s="4">
        <f t="shared" si="12"/>
        <v>0</v>
      </c>
      <c r="U7" s="4">
        <f t="shared" si="13"/>
        <v>-2353.846154</v>
      </c>
      <c r="V7" s="4">
        <f t="shared" si="14"/>
        <v>0</v>
      </c>
      <c r="W7" s="1">
        <f>IF(R7&gt;0, ((G7+M7)/R7)/(1-Inputs!B2), 0)</f>
        <v>0</v>
      </c>
    </row>
    <row r="8">
      <c r="A8" s="4"/>
      <c r="B8" s="4"/>
      <c r="C8" s="4"/>
      <c r="D8" s="4"/>
      <c r="E8" s="4"/>
      <c r="F8" s="4">
        <f t="shared" si="1"/>
        <v>0</v>
      </c>
      <c r="G8" s="4">
        <f t="shared" si="2"/>
        <v>0</v>
      </c>
      <c r="H8" s="4"/>
      <c r="I8" s="4"/>
      <c r="J8" s="4">
        <f t="shared" si="3"/>
        <v>0</v>
      </c>
      <c r="K8" s="4">
        <f t="shared" si="4"/>
        <v>0</v>
      </c>
      <c r="L8" s="4">
        <f t="shared" si="5"/>
        <v>0</v>
      </c>
      <c r="M8" s="4">
        <f>IF(SUM(C:C)&gt;0,(Inputs!B1*12/52)/SUM(C:C),0)</f>
        <v>28.84615385</v>
      </c>
      <c r="N8" s="4">
        <f t="shared" si="6"/>
        <v>0</v>
      </c>
      <c r="O8" s="4">
        <f t="shared" si="7"/>
        <v>0</v>
      </c>
      <c r="P8" s="4">
        <f t="shared" si="8"/>
        <v>0</v>
      </c>
      <c r="Q8" s="4">
        <f t="shared" si="9"/>
        <v>0</v>
      </c>
      <c r="R8" s="4">
        <f t="shared" si="10"/>
        <v>0</v>
      </c>
      <c r="S8" s="4">
        <f t="shared" si="11"/>
        <v>0</v>
      </c>
      <c r="T8" s="4">
        <f t="shared" si="12"/>
        <v>0</v>
      </c>
      <c r="U8" s="4">
        <f t="shared" si="13"/>
        <v>0</v>
      </c>
      <c r="V8" s="4">
        <f t="shared" si="14"/>
        <v>0</v>
      </c>
      <c r="W8" s="1">
        <f>IF(R8&gt;0, ((G8+M8)/R8)/(1-Inputs!B2), 0)</f>
        <v>0</v>
      </c>
    </row>
    <row r="9">
      <c r="A9" s="4"/>
      <c r="B9" s="4"/>
      <c r="C9" s="4"/>
      <c r="D9" s="4"/>
      <c r="E9" s="4"/>
      <c r="F9" s="4">
        <f t="shared" si="1"/>
        <v>0</v>
      </c>
      <c r="G9" s="4">
        <f t="shared" si="2"/>
        <v>0</v>
      </c>
      <c r="H9" s="4"/>
      <c r="I9" s="4"/>
      <c r="J9" s="4">
        <f t="shared" si="3"/>
        <v>0</v>
      </c>
      <c r="K9" s="4">
        <f t="shared" si="4"/>
        <v>0</v>
      </c>
      <c r="L9" s="4">
        <f t="shared" si="5"/>
        <v>0</v>
      </c>
      <c r="M9" s="4">
        <f>IF(SUM(C:C)&gt;0,(Inputs!B1*12/52)/SUM(C:C),0)</f>
        <v>28.84615385</v>
      </c>
      <c r="N9" s="4">
        <f t="shared" si="6"/>
        <v>0</v>
      </c>
      <c r="O9" s="4">
        <f t="shared" si="7"/>
        <v>0</v>
      </c>
      <c r="P9" s="4">
        <f t="shared" si="8"/>
        <v>0</v>
      </c>
      <c r="Q9" s="4">
        <f t="shared" si="9"/>
        <v>0</v>
      </c>
      <c r="R9" s="4">
        <f t="shared" si="10"/>
        <v>0</v>
      </c>
      <c r="S9" s="4">
        <f t="shared" si="11"/>
        <v>0</v>
      </c>
      <c r="T9" s="4">
        <f t="shared" si="12"/>
        <v>0</v>
      </c>
      <c r="U9" s="4">
        <f t="shared" si="13"/>
        <v>0</v>
      </c>
      <c r="V9" s="4">
        <f t="shared" si="14"/>
        <v>0</v>
      </c>
      <c r="W9" s="1">
        <f>IF(R9&gt;0, ((G9+M9)/R9)/(1-Inputs!B2), 0)</f>
        <v>0</v>
      </c>
    </row>
    <row r="10">
      <c r="A10" s="4"/>
      <c r="B10" s="4"/>
      <c r="C10" s="4"/>
      <c r="D10" s="4"/>
      <c r="E10" s="4"/>
      <c r="F10" s="4">
        <f t="shared" si="1"/>
        <v>0</v>
      </c>
      <c r="G10" s="4">
        <f t="shared" si="2"/>
        <v>0</v>
      </c>
      <c r="H10" s="4"/>
      <c r="I10" s="4"/>
      <c r="J10" s="4">
        <f t="shared" si="3"/>
        <v>0</v>
      </c>
      <c r="K10" s="4">
        <f t="shared" si="4"/>
        <v>0</v>
      </c>
      <c r="L10" s="4">
        <f t="shared" si="5"/>
        <v>0</v>
      </c>
      <c r="M10" s="4">
        <f>IF(SUM(C:C)&gt;0,(Inputs!B1*12/52)/SUM(C:C),0)</f>
        <v>28.84615385</v>
      </c>
      <c r="N10" s="4">
        <f t="shared" si="6"/>
        <v>0</v>
      </c>
      <c r="O10" s="4">
        <f t="shared" si="7"/>
        <v>0</v>
      </c>
      <c r="P10" s="4">
        <f t="shared" si="8"/>
        <v>0</v>
      </c>
      <c r="Q10" s="4">
        <f t="shared" si="9"/>
        <v>0</v>
      </c>
      <c r="R10" s="4">
        <f t="shared" si="10"/>
        <v>0</v>
      </c>
      <c r="S10" s="4">
        <f t="shared" si="11"/>
        <v>0</v>
      </c>
      <c r="T10" s="4">
        <f t="shared" si="12"/>
        <v>0</v>
      </c>
      <c r="U10" s="4">
        <f t="shared" si="13"/>
        <v>0</v>
      </c>
      <c r="V10" s="4">
        <f t="shared" si="14"/>
        <v>0</v>
      </c>
      <c r="W10" s="1">
        <f>IF(R10&gt;0, ((G10+M10)/R10)/(1-Inputs!B2), 0)</f>
        <v>0</v>
      </c>
    </row>
    <row r="11">
      <c r="A11" s="4"/>
      <c r="B11" s="4"/>
      <c r="C11" s="4"/>
      <c r="D11" s="4"/>
      <c r="E11" s="4"/>
      <c r="F11" s="4">
        <f t="shared" si="1"/>
        <v>0</v>
      </c>
      <c r="G11" s="4">
        <f t="shared" si="2"/>
        <v>0</v>
      </c>
      <c r="H11" s="4"/>
      <c r="I11" s="4"/>
      <c r="J11" s="4">
        <f t="shared" si="3"/>
        <v>0</v>
      </c>
      <c r="K11" s="4">
        <f t="shared" si="4"/>
        <v>0</v>
      </c>
      <c r="L11" s="4">
        <f t="shared" si="5"/>
        <v>0</v>
      </c>
      <c r="M11" s="4">
        <f>IF(SUM(C:C)&gt;0,(Inputs!B1*12/52)/SUM(C:C),0)</f>
        <v>28.84615385</v>
      </c>
      <c r="N11" s="4">
        <f t="shared" si="6"/>
        <v>0</v>
      </c>
      <c r="O11" s="4">
        <f t="shared" si="7"/>
        <v>0</v>
      </c>
      <c r="P11" s="4">
        <f t="shared" si="8"/>
        <v>0</v>
      </c>
      <c r="Q11" s="4">
        <f t="shared" si="9"/>
        <v>0</v>
      </c>
      <c r="R11" s="4">
        <f t="shared" si="10"/>
        <v>0</v>
      </c>
      <c r="S11" s="4">
        <f t="shared" si="11"/>
        <v>0</v>
      </c>
      <c r="T11" s="4">
        <f t="shared" si="12"/>
        <v>0</v>
      </c>
      <c r="U11" s="4">
        <f t="shared" si="13"/>
        <v>0</v>
      </c>
      <c r="V11" s="4">
        <f t="shared" si="14"/>
        <v>0</v>
      </c>
      <c r="W11" s="1">
        <f>IF(R11&gt;0, ((G11+M11)/R11)/(1-Inputs!B2), 0)</f>
        <v>0</v>
      </c>
    </row>
    <row r="12">
      <c r="A12" s="4"/>
      <c r="B12" s="4"/>
      <c r="C12" s="4"/>
      <c r="D12" s="4"/>
      <c r="E12" s="4"/>
      <c r="F12" s="4">
        <f t="shared" si="1"/>
        <v>0</v>
      </c>
      <c r="G12" s="4">
        <f t="shared" si="2"/>
        <v>0</v>
      </c>
      <c r="H12" s="4"/>
      <c r="I12" s="4"/>
      <c r="J12" s="4">
        <f t="shared" si="3"/>
        <v>0</v>
      </c>
      <c r="K12" s="4">
        <f t="shared" si="4"/>
        <v>0</v>
      </c>
      <c r="L12" s="4">
        <f t="shared" si="5"/>
        <v>0</v>
      </c>
      <c r="M12" s="4">
        <f>IF(SUM(C:C)&gt;0,(Inputs!B1*12/52)/SUM(C:C),0)</f>
        <v>28.84615385</v>
      </c>
      <c r="N12" s="4">
        <f t="shared" si="6"/>
        <v>0</v>
      </c>
      <c r="O12" s="4">
        <f t="shared" si="7"/>
        <v>0</v>
      </c>
      <c r="P12" s="4">
        <f t="shared" si="8"/>
        <v>0</v>
      </c>
      <c r="Q12" s="4">
        <f t="shared" si="9"/>
        <v>0</v>
      </c>
      <c r="R12" s="4">
        <f t="shared" si="10"/>
        <v>0</v>
      </c>
      <c r="S12" s="4">
        <f t="shared" si="11"/>
        <v>0</v>
      </c>
      <c r="T12" s="4">
        <f t="shared" si="12"/>
        <v>0</v>
      </c>
      <c r="U12" s="4">
        <f t="shared" si="13"/>
        <v>0</v>
      </c>
      <c r="V12" s="4">
        <f t="shared" si="14"/>
        <v>0</v>
      </c>
      <c r="W12" s="1">
        <f>IF(R12&gt;0, ((G12+M12)/R12)/(1-Inputs!B2), 0)</f>
        <v>0</v>
      </c>
    </row>
    <row r="13">
      <c r="A13" s="4"/>
      <c r="B13" s="4"/>
      <c r="C13" s="4"/>
      <c r="D13" s="4"/>
      <c r="E13" s="4"/>
      <c r="F13" s="4">
        <f t="shared" si="1"/>
        <v>0</v>
      </c>
      <c r="G13" s="4">
        <f t="shared" si="2"/>
        <v>0</v>
      </c>
      <c r="H13" s="4"/>
      <c r="I13" s="4"/>
      <c r="J13" s="4">
        <f t="shared" si="3"/>
        <v>0</v>
      </c>
      <c r="K13" s="4">
        <f t="shared" si="4"/>
        <v>0</v>
      </c>
      <c r="L13" s="4">
        <f t="shared" si="5"/>
        <v>0</v>
      </c>
      <c r="M13" s="4">
        <f>IF(SUM(C:C)&gt;0,(Inputs!B1*12/52)/SUM(C:C),0)</f>
        <v>28.84615385</v>
      </c>
      <c r="N13" s="4">
        <f t="shared" si="6"/>
        <v>0</v>
      </c>
      <c r="O13" s="4">
        <f t="shared" si="7"/>
        <v>0</v>
      </c>
      <c r="P13" s="4">
        <f t="shared" si="8"/>
        <v>0</v>
      </c>
      <c r="Q13" s="4">
        <f t="shared" si="9"/>
        <v>0</v>
      </c>
      <c r="R13" s="4">
        <f t="shared" si="10"/>
        <v>0</v>
      </c>
      <c r="S13" s="4">
        <f t="shared" si="11"/>
        <v>0</v>
      </c>
      <c r="T13" s="4">
        <f t="shared" si="12"/>
        <v>0</v>
      </c>
      <c r="U13" s="4">
        <f t="shared" si="13"/>
        <v>0</v>
      </c>
      <c r="V13" s="4">
        <f t="shared" si="14"/>
        <v>0</v>
      </c>
      <c r="W13" s="1">
        <f>IF(R13&gt;0, ((G13+M13)/R13)/(1-Inputs!B2), 0)</f>
        <v>0</v>
      </c>
    </row>
    <row r="14">
      <c r="A14" s="4"/>
      <c r="B14" s="4"/>
      <c r="C14" s="4"/>
      <c r="D14" s="4"/>
      <c r="E14" s="4"/>
      <c r="F14" s="4">
        <f t="shared" si="1"/>
        <v>0</v>
      </c>
      <c r="G14" s="4">
        <f t="shared" si="2"/>
        <v>0</v>
      </c>
      <c r="H14" s="4"/>
      <c r="I14" s="4"/>
      <c r="J14" s="4">
        <f t="shared" si="3"/>
        <v>0</v>
      </c>
      <c r="K14" s="4">
        <f t="shared" si="4"/>
        <v>0</v>
      </c>
      <c r="L14" s="4">
        <f t="shared" si="5"/>
        <v>0</v>
      </c>
      <c r="M14" s="4">
        <f>IF(SUM(C:C)&gt;0,(Inputs!B1*12/52)/SUM(C:C),0)</f>
        <v>28.84615385</v>
      </c>
      <c r="N14" s="4">
        <f t="shared" si="6"/>
        <v>0</v>
      </c>
      <c r="O14" s="4">
        <f t="shared" si="7"/>
        <v>0</v>
      </c>
      <c r="P14" s="4">
        <f t="shared" si="8"/>
        <v>0</v>
      </c>
      <c r="Q14" s="4">
        <f t="shared" si="9"/>
        <v>0</v>
      </c>
      <c r="R14" s="4">
        <f t="shared" si="10"/>
        <v>0</v>
      </c>
      <c r="S14" s="4">
        <f t="shared" si="11"/>
        <v>0</v>
      </c>
      <c r="T14" s="4">
        <f t="shared" si="12"/>
        <v>0</v>
      </c>
      <c r="U14" s="4">
        <f t="shared" si="13"/>
        <v>0</v>
      </c>
      <c r="V14" s="4">
        <f t="shared" si="14"/>
        <v>0</v>
      </c>
      <c r="W14" s="1">
        <f>IF(R14&gt;0, ((G14+M14)/R14)/(1-Inputs!B2), 0)</f>
        <v>0</v>
      </c>
    </row>
    <row r="15">
      <c r="A15" s="4"/>
      <c r="B15" s="4"/>
      <c r="C15" s="4"/>
      <c r="D15" s="4"/>
      <c r="E15" s="4"/>
      <c r="F15" s="4">
        <f t="shared" si="1"/>
        <v>0</v>
      </c>
      <c r="G15" s="4">
        <f t="shared" si="2"/>
        <v>0</v>
      </c>
      <c r="H15" s="4"/>
      <c r="I15" s="4"/>
      <c r="J15" s="4">
        <f t="shared" si="3"/>
        <v>0</v>
      </c>
      <c r="K15" s="4">
        <f t="shared" si="4"/>
        <v>0</v>
      </c>
      <c r="L15" s="4">
        <f t="shared" si="5"/>
        <v>0</v>
      </c>
      <c r="M15" s="4">
        <f>IF(SUM(C:C)&gt;0,(Inputs!B1*12/52)/SUM(C:C),0)</f>
        <v>28.84615385</v>
      </c>
      <c r="N15" s="4">
        <f t="shared" si="6"/>
        <v>0</v>
      </c>
      <c r="O15" s="4">
        <f t="shared" si="7"/>
        <v>0</v>
      </c>
      <c r="P15" s="4">
        <f t="shared" si="8"/>
        <v>0</v>
      </c>
      <c r="Q15" s="4">
        <f t="shared" si="9"/>
        <v>0</v>
      </c>
      <c r="R15" s="4">
        <f t="shared" si="10"/>
        <v>0</v>
      </c>
      <c r="S15" s="4">
        <f t="shared" si="11"/>
        <v>0</v>
      </c>
      <c r="T15" s="4">
        <f t="shared" si="12"/>
        <v>0</v>
      </c>
      <c r="U15" s="4">
        <f t="shared" si="13"/>
        <v>0</v>
      </c>
      <c r="V15" s="4">
        <f t="shared" si="14"/>
        <v>0</v>
      </c>
      <c r="W15" s="1">
        <f>IF(R15&gt;0, ((G15+M15)/R15)/(1-Inputs!B2), 0)</f>
        <v>0</v>
      </c>
    </row>
    <row r="16">
      <c r="A16" s="4"/>
      <c r="B16" s="4"/>
      <c r="C16" s="4"/>
      <c r="D16" s="4"/>
      <c r="E16" s="4"/>
      <c r="F16" s="4">
        <f t="shared" si="1"/>
        <v>0</v>
      </c>
      <c r="G16" s="4">
        <f t="shared" si="2"/>
        <v>0</v>
      </c>
      <c r="H16" s="4"/>
      <c r="I16" s="4"/>
      <c r="J16" s="4">
        <f t="shared" si="3"/>
        <v>0</v>
      </c>
      <c r="K16" s="4">
        <f t="shared" si="4"/>
        <v>0</v>
      </c>
      <c r="L16" s="4">
        <f t="shared" si="5"/>
        <v>0</v>
      </c>
      <c r="M16" s="4">
        <f>IF(SUM(C:C)&gt;0,(Inputs!B1*12/52)/SUM(C:C),0)</f>
        <v>28.84615385</v>
      </c>
      <c r="N16" s="4">
        <f t="shared" si="6"/>
        <v>0</v>
      </c>
      <c r="O16" s="4">
        <f t="shared" si="7"/>
        <v>0</v>
      </c>
      <c r="P16" s="4">
        <f t="shared" si="8"/>
        <v>0</v>
      </c>
      <c r="Q16" s="4">
        <f t="shared" si="9"/>
        <v>0</v>
      </c>
      <c r="R16" s="4">
        <f t="shared" si="10"/>
        <v>0</v>
      </c>
      <c r="S16" s="4">
        <f t="shared" si="11"/>
        <v>0</v>
      </c>
      <c r="T16" s="4">
        <f t="shared" si="12"/>
        <v>0</v>
      </c>
      <c r="U16" s="4">
        <f t="shared" si="13"/>
        <v>0</v>
      </c>
      <c r="V16" s="4">
        <f t="shared" si="14"/>
        <v>0</v>
      </c>
      <c r="W16" s="1">
        <f>IF(R16&gt;0, ((G16+M16)/R16)/(1-Inputs!B2), 0)</f>
        <v>0</v>
      </c>
    </row>
    <row r="17">
      <c r="A17" s="4"/>
      <c r="B17" s="4"/>
      <c r="C17" s="4"/>
      <c r="D17" s="4"/>
      <c r="E17" s="4"/>
      <c r="F17" s="4">
        <f t="shared" si="1"/>
        <v>0</v>
      </c>
      <c r="G17" s="4">
        <f t="shared" si="2"/>
        <v>0</v>
      </c>
      <c r="H17" s="4"/>
      <c r="I17" s="4"/>
      <c r="J17" s="4">
        <f t="shared" si="3"/>
        <v>0</v>
      </c>
      <c r="K17" s="4">
        <f t="shared" si="4"/>
        <v>0</v>
      </c>
      <c r="L17" s="4">
        <f t="shared" si="5"/>
        <v>0</v>
      </c>
      <c r="M17" s="4">
        <f>IF(SUM(C:C)&gt;0,(Inputs!B1*12/52)/SUM(C:C),0)</f>
        <v>28.84615385</v>
      </c>
      <c r="N17" s="4">
        <f t="shared" si="6"/>
        <v>0</v>
      </c>
      <c r="O17" s="4">
        <f t="shared" si="7"/>
        <v>0</v>
      </c>
      <c r="P17" s="4">
        <f t="shared" si="8"/>
        <v>0</v>
      </c>
      <c r="Q17" s="4">
        <f t="shared" si="9"/>
        <v>0</v>
      </c>
      <c r="R17" s="4">
        <f t="shared" si="10"/>
        <v>0</v>
      </c>
      <c r="S17" s="4">
        <f t="shared" si="11"/>
        <v>0</v>
      </c>
      <c r="T17" s="4">
        <f t="shared" si="12"/>
        <v>0</v>
      </c>
      <c r="U17" s="4">
        <f t="shared" si="13"/>
        <v>0</v>
      </c>
      <c r="V17" s="4">
        <f t="shared" si="14"/>
        <v>0</v>
      </c>
      <c r="W17" s="1">
        <f>IF(R17&gt;0, ((G17+M17)/R17)/(1-Inputs!B2), 0)</f>
        <v>0</v>
      </c>
    </row>
    <row r="18">
      <c r="A18" s="4"/>
      <c r="B18" s="4"/>
      <c r="C18" s="4"/>
      <c r="D18" s="4"/>
      <c r="E18" s="4"/>
      <c r="F18" s="4">
        <f t="shared" si="1"/>
        <v>0</v>
      </c>
      <c r="G18" s="4">
        <f t="shared" si="2"/>
        <v>0</v>
      </c>
      <c r="H18" s="4"/>
      <c r="I18" s="4"/>
      <c r="J18" s="4">
        <f t="shared" si="3"/>
        <v>0</v>
      </c>
      <c r="K18" s="4">
        <f t="shared" si="4"/>
        <v>0</v>
      </c>
      <c r="L18" s="4">
        <f t="shared" si="5"/>
        <v>0</v>
      </c>
      <c r="M18" s="4">
        <f>IF(SUM(C:C)&gt;0,(Inputs!B1*12/52)/SUM(C:C),0)</f>
        <v>28.84615385</v>
      </c>
      <c r="N18" s="4">
        <f t="shared" si="6"/>
        <v>0</v>
      </c>
      <c r="O18" s="4">
        <f t="shared" si="7"/>
        <v>0</v>
      </c>
      <c r="P18" s="4">
        <f t="shared" si="8"/>
        <v>0</v>
      </c>
      <c r="Q18" s="4">
        <f t="shared" si="9"/>
        <v>0</v>
      </c>
      <c r="R18" s="4">
        <f t="shared" si="10"/>
        <v>0</v>
      </c>
      <c r="S18" s="4">
        <f t="shared" si="11"/>
        <v>0</v>
      </c>
      <c r="T18" s="4">
        <f t="shared" si="12"/>
        <v>0</v>
      </c>
      <c r="U18" s="4">
        <f t="shared" si="13"/>
        <v>0</v>
      </c>
      <c r="V18" s="4">
        <f t="shared" si="14"/>
        <v>0</v>
      </c>
      <c r="W18" s="1">
        <f>IF(R18&gt;0, ((G18+M18)/R18)/(1-Inputs!B2), 0)</f>
        <v>0</v>
      </c>
    </row>
    <row r="19">
      <c r="A19" s="4"/>
      <c r="B19" s="4"/>
      <c r="C19" s="4"/>
      <c r="D19" s="4"/>
      <c r="E19" s="4"/>
      <c r="F19" s="4">
        <f t="shared" si="1"/>
        <v>0</v>
      </c>
      <c r="G19" s="4">
        <f t="shared" si="2"/>
        <v>0</v>
      </c>
      <c r="H19" s="4"/>
      <c r="I19" s="4"/>
      <c r="J19" s="4">
        <f t="shared" si="3"/>
        <v>0</v>
      </c>
      <c r="K19" s="4">
        <f t="shared" si="4"/>
        <v>0</v>
      </c>
      <c r="L19" s="4">
        <f t="shared" si="5"/>
        <v>0</v>
      </c>
      <c r="M19" s="4">
        <f>IF(SUM(C:C)&gt;0,(Inputs!B1*12/52)/SUM(C:C),0)</f>
        <v>28.84615385</v>
      </c>
      <c r="N19" s="4">
        <f t="shared" si="6"/>
        <v>0</v>
      </c>
      <c r="O19" s="4">
        <f t="shared" si="7"/>
        <v>0</v>
      </c>
      <c r="P19" s="4">
        <f t="shared" si="8"/>
        <v>0</v>
      </c>
      <c r="Q19" s="4">
        <f t="shared" si="9"/>
        <v>0</v>
      </c>
      <c r="R19" s="4">
        <f t="shared" si="10"/>
        <v>0</v>
      </c>
      <c r="S19" s="4">
        <f t="shared" si="11"/>
        <v>0</v>
      </c>
      <c r="T19" s="4">
        <f t="shared" si="12"/>
        <v>0</v>
      </c>
      <c r="U19" s="4">
        <f t="shared" si="13"/>
        <v>0</v>
      </c>
      <c r="V19" s="4">
        <f t="shared" si="14"/>
        <v>0</v>
      </c>
      <c r="W19" s="1">
        <f>IF(R19&gt;0, ((G19+M19)/R19)/(1-Inputs!B2), 0)</f>
        <v>0</v>
      </c>
    </row>
    <row r="20">
      <c r="A20" s="4"/>
      <c r="B20" s="4"/>
      <c r="C20" s="4"/>
      <c r="D20" s="4"/>
      <c r="E20" s="4"/>
      <c r="F20" s="4">
        <f t="shared" si="1"/>
        <v>0</v>
      </c>
      <c r="G20" s="4">
        <f t="shared" si="2"/>
        <v>0</v>
      </c>
      <c r="H20" s="4"/>
      <c r="I20" s="4"/>
      <c r="J20" s="4">
        <f t="shared" si="3"/>
        <v>0</v>
      </c>
      <c r="K20" s="4">
        <f t="shared" si="4"/>
        <v>0</v>
      </c>
      <c r="L20" s="4">
        <f t="shared" si="5"/>
        <v>0</v>
      </c>
      <c r="M20" s="4">
        <f>IF(SUM(C:C)&gt;0,(Inputs!B1*12/52)/SUM(C:C),0)</f>
        <v>28.84615385</v>
      </c>
      <c r="N20" s="4">
        <f t="shared" si="6"/>
        <v>0</v>
      </c>
      <c r="O20" s="4">
        <f t="shared" si="7"/>
        <v>0</v>
      </c>
      <c r="P20" s="4">
        <f t="shared" si="8"/>
        <v>0</v>
      </c>
      <c r="Q20" s="4">
        <f t="shared" si="9"/>
        <v>0</v>
      </c>
      <c r="R20" s="4">
        <f t="shared" si="10"/>
        <v>0</v>
      </c>
      <c r="S20" s="4">
        <f t="shared" si="11"/>
        <v>0</v>
      </c>
      <c r="T20" s="4">
        <f t="shared" si="12"/>
        <v>0</v>
      </c>
      <c r="U20" s="4">
        <f t="shared" si="13"/>
        <v>0</v>
      </c>
      <c r="V20" s="4">
        <f t="shared" si="14"/>
        <v>0</v>
      </c>
      <c r="W20" s="1">
        <f>IF(R20&gt;0, ((G20+M20)/R20)/(1-Inputs!B2), 0)</f>
        <v>0</v>
      </c>
    </row>
    <row r="21" ht="15.75" customHeight="1">
      <c r="A21" s="4"/>
      <c r="B21" s="4"/>
      <c r="C21" s="4"/>
      <c r="D21" s="4"/>
      <c r="E21" s="4"/>
      <c r="F21" s="4">
        <f t="shared" si="1"/>
        <v>0</v>
      </c>
      <c r="G21" s="4">
        <f t="shared" si="2"/>
        <v>0</v>
      </c>
      <c r="H21" s="4"/>
      <c r="I21" s="4"/>
      <c r="J21" s="4">
        <f t="shared" si="3"/>
        <v>0</v>
      </c>
      <c r="K21" s="4">
        <f t="shared" si="4"/>
        <v>0</v>
      </c>
      <c r="L21" s="4">
        <f t="shared" si="5"/>
        <v>0</v>
      </c>
      <c r="M21" s="4">
        <f>IF(SUM(C:C)&gt;0,(Inputs!B1*12/52)/SUM(C:C),0)</f>
        <v>28.84615385</v>
      </c>
      <c r="N21" s="4">
        <f t="shared" si="6"/>
        <v>0</v>
      </c>
      <c r="O21" s="4">
        <f t="shared" si="7"/>
        <v>0</v>
      </c>
      <c r="P21" s="4">
        <f t="shared" si="8"/>
        <v>0</v>
      </c>
      <c r="Q21" s="4">
        <f t="shared" si="9"/>
        <v>0</v>
      </c>
      <c r="R21" s="4">
        <f t="shared" si="10"/>
        <v>0</v>
      </c>
      <c r="S21" s="4">
        <f t="shared" si="11"/>
        <v>0</v>
      </c>
      <c r="T21" s="4">
        <f t="shared" si="12"/>
        <v>0</v>
      </c>
      <c r="U21" s="4">
        <f t="shared" si="13"/>
        <v>0</v>
      </c>
      <c r="V21" s="4">
        <f t="shared" si="14"/>
        <v>0</v>
      </c>
      <c r="W21" s="1">
        <f>IF(R21&gt;0, ((G21+M21)/R21)/(1-Inputs!B2), 0)</f>
        <v>0</v>
      </c>
    </row>
    <row r="22" ht="15.75" customHeight="1">
      <c r="A22" s="4"/>
      <c r="B22" s="4"/>
      <c r="C22" s="4"/>
      <c r="D22" s="4"/>
      <c r="E22" s="4"/>
      <c r="F22" s="4">
        <f t="shared" si="1"/>
        <v>0</v>
      </c>
      <c r="G22" s="4">
        <f t="shared" si="2"/>
        <v>0</v>
      </c>
      <c r="H22" s="4"/>
      <c r="I22" s="4"/>
      <c r="J22" s="4">
        <f t="shared" si="3"/>
        <v>0</v>
      </c>
      <c r="K22" s="4">
        <f t="shared" si="4"/>
        <v>0</v>
      </c>
      <c r="L22" s="4">
        <f t="shared" si="5"/>
        <v>0</v>
      </c>
      <c r="M22" s="4">
        <f>IF(SUM(C:C)&gt;0,(Inputs!B1*12/52)/SUM(C:C),0)</f>
        <v>28.84615385</v>
      </c>
      <c r="N22" s="4">
        <f t="shared" si="6"/>
        <v>0</v>
      </c>
      <c r="O22" s="4">
        <f t="shared" si="7"/>
        <v>0</v>
      </c>
      <c r="P22" s="4">
        <f t="shared" si="8"/>
        <v>0</v>
      </c>
      <c r="Q22" s="4">
        <f t="shared" si="9"/>
        <v>0</v>
      </c>
      <c r="R22" s="4">
        <f t="shared" si="10"/>
        <v>0</v>
      </c>
      <c r="S22" s="4">
        <f t="shared" si="11"/>
        <v>0</v>
      </c>
      <c r="T22" s="4">
        <f t="shared" si="12"/>
        <v>0</v>
      </c>
      <c r="U22" s="4">
        <f t="shared" si="13"/>
        <v>0</v>
      </c>
      <c r="V22" s="4">
        <f t="shared" si="14"/>
        <v>0</v>
      </c>
      <c r="W22" s="1">
        <f>IF(R22&gt;0, ((G22+M22)/R22)/(1-Inputs!B2), 0)</f>
        <v>0</v>
      </c>
    </row>
    <row r="23" ht="15.75" customHeight="1">
      <c r="A23" s="4"/>
      <c r="B23" s="4"/>
      <c r="C23" s="4"/>
      <c r="D23" s="4"/>
      <c r="E23" s="4"/>
      <c r="F23" s="4">
        <f t="shared" si="1"/>
        <v>0</v>
      </c>
      <c r="G23" s="4">
        <f t="shared" si="2"/>
        <v>0</v>
      </c>
      <c r="H23" s="4"/>
      <c r="I23" s="4"/>
      <c r="J23" s="4">
        <f t="shared" si="3"/>
        <v>0</v>
      </c>
      <c r="K23" s="4">
        <f t="shared" si="4"/>
        <v>0</v>
      </c>
      <c r="L23" s="4">
        <f t="shared" si="5"/>
        <v>0</v>
      </c>
      <c r="M23" s="4">
        <f>IF(SUM(C:C)&gt;0,(Inputs!B1*12/52)/SUM(C:C),0)</f>
        <v>28.84615385</v>
      </c>
      <c r="N23" s="4">
        <f t="shared" si="6"/>
        <v>0</v>
      </c>
      <c r="O23" s="4">
        <f t="shared" si="7"/>
        <v>0</v>
      </c>
      <c r="P23" s="4">
        <f t="shared" si="8"/>
        <v>0</v>
      </c>
      <c r="Q23" s="4">
        <f t="shared" si="9"/>
        <v>0</v>
      </c>
      <c r="R23" s="4">
        <f t="shared" si="10"/>
        <v>0</v>
      </c>
      <c r="S23" s="4">
        <f t="shared" si="11"/>
        <v>0</v>
      </c>
      <c r="T23" s="4">
        <f t="shared" si="12"/>
        <v>0</v>
      </c>
      <c r="U23" s="4">
        <f t="shared" si="13"/>
        <v>0</v>
      </c>
      <c r="V23" s="4">
        <f t="shared" si="14"/>
        <v>0</v>
      </c>
      <c r="W23" s="1">
        <f>IF(R23&gt;0, ((G23+M23)/R23)/(1-Inputs!B2), 0)</f>
        <v>0</v>
      </c>
    </row>
    <row r="24" ht="15.75" customHeight="1">
      <c r="A24" s="4"/>
      <c r="B24" s="4"/>
      <c r="C24" s="4"/>
      <c r="D24" s="4"/>
      <c r="E24" s="4"/>
      <c r="F24" s="4">
        <f t="shared" si="1"/>
        <v>0</v>
      </c>
      <c r="G24" s="4">
        <f t="shared" si="2"/>
        <v>0</v>
      </c>
      <c r="H24" s="4"/>
      <c r="I24" s="4"/>
      <c r="J24" s="4">
        <f t="shared" si="3"/>
        <v>0</v>
      </c>
      <c r="K24" s="4">
        <f t="shared" si="4"/>
        <v>0</v>
      </c>
      <c r="L24" s="4">
        <f t="shared" si="5"/>
        <v>0</v>
      </c>
      <c r="M24" s="4">
        <f>IF(SUM(C:C)&gt;0,(Inputs!B1*12/52)/SUM(C:C),0)</f>
        <v>28.84615385</v>
      </c>
      <c r="N24" s="4">
        <f t="shared" si="6"/>
        <v>0</v>
      </c>
      <c r="O24" s="4">
        <f t="shared" si="7"/>
        <v>0</v>
      </c>
      <c r="P24" s="4">
        <f t="shared" si="8"/>
        <v>0</v>
      </c>
      <c r="Q24" s="4">
        <f t="shared" si="9"/>
        <v>0</v>
      </c>
      <c r="R24" s="4">
        <f t="shared" si="10"/>
        <v>0</v>
      </c>
      <c r="S24" s="4">
        <f t="shared" si="11"/>
        <v>0</v>
      </c>
      <c r="T24" s="4">
        <f t="shared" si="12"/>
        <v>0</v>
      </c>
      <c r="U24" s="4">
        <f t="shared" si="13"/>
        <v>0</v>
      </c>
      <c r="V24" s="4">
        <f t="shared" si="14"/>
        <v>0</v>
      </c>
      <c r="W24" s="1">
        <f>IF(R24&gt;0, ((G24+M24)/R24)/(1-Inputs!B2), 0)</f>
        <v>0</v>
      </c>
    </row>
    <row r="25" ht="15.75" customHeight="1">
      <c r="A25" s="4"/>
      <c r="B25" s="4"/>
      <c r="C25" s="4"/>
      <c r="D25" s="4"/>
      <c r="E25" s="4"/>
      <c r="F25" s="4">
        <f t="shared" si="1"/>
        <v>0</v>
      </c>
      <c r="G25" s="4">
        <f t="shared" si="2"/>
        <v>0</v>
      </c>
      <c r="H25" s="4"/>
      <c r="I25" s="4"/>
      <c r="J25" s="4">
        <f t="shared" si="3"/>
        <v>0</v>
      </c>
      <c r="K25" s="4">
        <f t="shared" si="4"/>
        <v>0</v>
      </c>
      <c r="L25" s="4">
        <f t="shared" si="5"/>
        <v>0</v>
      </c>
      <c r="M25" s="4">
        <f>IF(SUM(C:C)&gt;0,(Inputs!B1*12/52)/SUM(C:C),0)</f>
        <v>28.84615385</v>
      </c>
      <c r="N25" s="4">
        <f t="shared" si="6"/>
        <v>0</v>
      </c>
      <c r="O25" s="4">
        <f t="shared" si="7"/>
        <v>0</v>
      </c>
      <c r="P25" s="4">
        <f t="shared" si="8"/>
        <v>0</v>
      </c>
      <c r="Q25" s="4">
        <f t="shared" si="9"/>
        <v>0</v>
      </c>
      <c r="R25" s="4">
        <f t="shared" si="10"/>
        <v>0</v>
      </c>
      <c r="S25" s="4">
        <f t="shared" si="11"/>
        <v>0</v>
      </c>
      <c r="T25" s="4">
        <f t="shared" si="12"/>
        <v>0</v>
      </c>
      <c r="U25" s="4">
        <f t="shared" si="13"/>
        <v>0</v>
      </c>
      <c r="V25" s="4">
        <f t="shared" si="14"/>
        <v>0</v>
      </c>
      <c r="W25" s="1">
        <f>IF(R25&gt;0, ((G25+M25)/R25)/(1-Inputs!B2), 0)</f>
        <v>0</v>
      </c>
    </row>
    <row r="26" ht="15.75" customHeight="1">
      <c r="A26" s="4"/>
      <c r="B26" s="4"/>
      <c r="C26" s="4"/>
      <c r="D26" s="4"/>
      <c r="E26" s="4"/>
      <c r="F26" s="4">
        <f t="shared" si="1"/>
        <v>0</v>
      </c>
      <c r="G26" s="4">
        <f t="shared" si="2"/>
        <v>0</v>
      </c>
      <c r="H26" s="4"/>
      <c r="I26" s="4"/>
      <c r="J26" s="4">
        <f t="shared" si="3"/>
        <v>0</v>
      </c>
      <c r="K26" s="4">
        <f t="shared" si="4"/>
        <v>0</v>
      </c>
      <c r="L26" s="4">
        <f t="shared" si="5"/>
        <v>0</v>
      </c>
      <c r="M26" s="4">
        <f>IF(SUM(C:C)&gt;0,(Inputs!B1*12/52)/SUM(C:C),0)</f>
        <v>28.84615385</v>
      </c>
      <c r="N26" s="4">
        <f t="shared" si="6"/>
        <v>0</v>
      </c>
      <c r="O26" s="4">
        <f t="shared" si="7"/>
        <v>0</v>
      </c>
      <c r="P26" s="4">
        <f t="shared" si="8"/>
        <v>0</v>
      </c>
      <c r="Q26" s="4">
        <f t="shared" si="9"/>
        <v>0</v>
      </c>
      <c r="R26" s="4">
        <f t="shared" si="10"/>
        <v>0</v>
      </c>
      <c r="S26" s="4">
        <f t="shared" si="11"/>
        <v>0</v>
      </c>
      <c r="T26" s="4">
        <f t="shared" si="12"/>
        <v>0</v>
      </c>
      <c r="U26" s="4">
        <f t="shared" si="13"/>
        <v>0</v>
      </c>
      <c r="V26" s="4">
        <f t="shared" si="14"/>
        <v>0</v>
      </c>
      <c r="W26" s="1">
        <f>IF(R26&gt;0, ((G26+M26)/R26)/(1-Inputs!B2), 0)</f>
        <v>0</v>
      </c>
    </row>
    <row r="27" ht="15.75" customHeight="1">
      <c r="A27" s="4"/>
      <c r="B27" s="4"/>
      <c r="C27" s="4"/>
      <c r="D27" s="4"/>
      <c r="E27" s="4"/>
      <c r="F27" s="4">
        <f t="shared" si="1"/>
        <v>0</v>
      </c>
      <c r="G27" s="4">
        <f t="shared" si="2"/>
        <v>0</v>
      </c>
      <c r="H27" s="4"/>
      <c r="I27" s="4"/>
      <c r="J27" s="4">
        <f t="shared" si="3"/>
        <v>0</v>
      </c>
      <c r="K27" s="4">
        <f t="shared" si="4"/>
        <v>0</v>
      </c>
      <c r="L27" s="4">
        <f t="shared" si="5"/>
        <v>0</v>
      </c>
      <c r="M27" s="4">
        <f>IF(SUM(C:C)&gt;0,(Inputs!B1*12/52)/SUM(C:C),0)</f>
        <v>28.84615385</v>
      </c>
      <c r="N27" s="4">
        <f t="shared" si="6"/>
        <v>0</v>
      </c>
      <c r="O27" s="4">
        <f t="shared" si="7"/>
        <v>0</v>
      </c>
      <c r="P27" s="4">
        <f t="shared" si="8"/>
        <v>0</v>
      </c>
      <c r="Q27" s="4">
        <f t="shared" si="9"/>
        <v>0</v>
      </c>
      <c r="R27" s="4">
        <f t="shared" si="10"/>
        <v>0</v>
      </c>
      <c r="S27" s="4">
        <f t="shared" si="11"/>
        <v>0</v>
      </c>
      <c r="T27" s="4">
        <f t="shared" si="12"/>
        <v>0</v>
      </c>
      <c r="U27" s="4">
        <f t="shared" si="13"/>
        <v>0</v>
      </c>
      <c r="V27" s="4">
        <f t="shared" si="14"/>
        <v>0</v>
      </c>
      <c r="W27" s="1">
        <f>IF(R27&gt;0, ((G27+M27)/R27)/(1-Inputs!B2), 0)</f>
        <v>0</v>
      </c>
    </row>
    <row r="28" ht="15.75" customHeight="1">
      <c r="A28" s="4"/>
      <c r="B28" s="4"/>
      <c r="C28" s="4"/>
      <c r="D28" s="4"/>
      <c r="E28" s="4"/>
      <c r="F28" s="4">
        <f t="shared" si="1"/>
        <v>0</v>
      </c>
      <c r="G28" s="4">
        <f t="shared" si="2"/>
        <v>0</v>
      </c>
      <c r="H28" s="4"/>
      <c r="I28" s="4"/>
      <c r="J28" s="4">
        <f t="shared" si="3"/>
        <v>0</v>
      </c>
      <c r="K28" s="4">
        <f t="shared" si="4"/>
        <v>0</v>
      </c>
      <c r="L28" s="4">
        <f t="shared" si="5"/>
        <v>0</v>
      </c>
      <c r="M28" s="4">
        <f>IF(SUM(C:C)&gt;0,(Inputs!B1*12/52)/SUM(C:C),0)</f>
        <v>28.84615385</v>
      </c>
      <c r="N28" s="4">
        <f t="shared" si="6"/>
        <v>0</v>
      </c>
      <c r="O28" s="4">
        <f t="shared" si="7"/>
        <v>0</v>
      </c>
      <c r="P28" s="4">
        <f t="shared" si="8"/>
        <v>0</v>
      </c>
      <c r="Q28" s="4">
        <f t="shared" si="9"/>
        <v>0</v>
      </c>
      <c r="R28" s="4">
        <f t="shared" si="10"/>
        <v>0</v>
      </c>
      <c r="S28" s="4">
        <f t="shared" si="11"/>
        <v>0</v>
      </c>
      <c r="T28" s="4">
        <f t="shared" si="12"/>
        <v>0</v>
      </c>
      <c r="U28" s="4">
        <f t="shared" si="13"/>
        <v>0</v>
      </c>
      <c r="V28" s="4">
        <f t="shared" si="14"/>
        <v>0</v>
      </c>
      <c r="W28" s="1">
        <f>IF(R28&gt;0, ((G28+M28)/R28)/(1-Inputs!B2), 0)</f>
        <v>0</v>
      </c>
    </row>
    <row r="29" ht="15.75" customHeight="1">
      <c r="A29" s="4"/>
      <c r="B29" s="4"/>
      <c r="C29" s="4"/>
      <c r="D29" s="4"/>
      <c r="E29" s="4"/>
      <c r="F29" s="4">
        <f t="shared" si="1"/>
        <v>0</v>
      </c>
      <c r="G29" s="4">
        <f t="shared" si="2"/>
        <v>0</v>
      </c>
      <c r="H29" s="4"/>
      <c r="I29" s="4"/>
      <c r="J29" s="4">
        <f t="shared" si="3"/>
        <v>0</v>
      </c>
      <c r="K29" s="4">
        <f t="shared" si="4"/>
        <v>0</v>
      </c>
      <c r="L29" s="4">
        <f t="shared" si="5"/>
        <v>0</v>
      </c>
      <c r="M29" s="4">
        <f>IF(SUM(C:C)&gt;0,(Inputs!B1*12/52)/SUM(C:C),0)</f>
        <v>28.84615385</v>
      </c>
      <c r="N29" s="4">
        <f t="shared" si="6"/>
        <v>0</v>
      </c>
      <c r="O29" s="4">
        <f t="shared" si="7"/>
        <v>0</v>
      </c>
      <c r="P29" s="4">
        <f t="shared" si="8"/>
        <v>0</v>
      </c>
      <c r="Q29" s="4">
        <f t="shared" si="9"/>
        <v>0</v>
      </c>
      <c r="R29" s="4">
        <f t="shared" si="10"/>
        <v>0</v>
      </c>
      <c r="S29" s="4">
        <f t="shared" si="11"/>
        <v>0</v>
      </c>
      <c r="T29" s="4">
        <f t="shared" si="12"/>
        <v>0</v>
      </c>
      <c r="U29" s="4">
        <f t="shared" si="13"/>
        <v>0</v>
      </c>
      <c r="V29" s="4">
        <f t="shared" si="14"/>
        <v>0</v>
      </c>
      <c r="W29" s="1">
        <f>IF(R29&gt;0, ((G29+M29)/R29)/(1-Inputs!B2), 0)</f>
        <v>0</v>
      </c>
    </row>
    <row r="30" ht="15.75" customHeight="1">
      <c r="A30" s="4"/>
      <c r="B30" s="4"/>
      <c r="C30" s="4"/>
      <c r="D30" s="4"/>
      <c r="E30" s="4"/>
      <c r="F30" s="4">
        <f t="shared" si="1"/>
        <v>0</v>
      </c>
      <c r="G30" s="4">
        <f t="shared" si="2"/>
        <v>0</v>
      </c>
      <c r="H30" s="4"/>
      <c r="I30" s="4"/>
      <c r="J30" s="4">
        <f t="shared" si="3"/>
        <v>0</v>
      </c>
      <c r="K30" s="4">
        <f t="shared" si="4"/>
        <v>0</v>
      </c>
      <c r="L30" s="4">
        <f t="shared" si="5"/>
        <v>0</v>
      </c>
      <c r="M30" s="4">
        <f>IF(SUM(C:C)&gt;0,(Inputs!B1*12/52)/SUM(C:C),0)</f>
        <v>28.84615385</v>
      </c>
      <c r="N30" s="4">
        <f t="shared" si="6"/>
        <v>0</v>
      </c>
      <c r="O30" s="4">
        <f t="shared" si="7"/>
        <v>0</v>
      </c>
      <c r="P30" s="4">
        <f t="shared" si="8"/>
        <v>0</v>
      </c>
      <c r="Q30" s="4">
        <f t="shared" si="9"/>
        <v>0</v>
      </c>
      <c r="R30" s="4">
        <f t="shared" si="10"/>
        <v>0</v>
      </c>
      <c r="S30" s="4">
        <f t="shared" si="11"/>
        <v>0</v>
      </c>
      <c r="T30" s="4">
        <f t="shared" si="12"/>
        <v>0</v>
      </c>
      <c r="U30" s="4">
        <f t="shared" si="13"/>
        <v>0</v>
      </c>
      <c r="V30" s="4">
        <f t="shared" si="14"/>
        <v>0</v>
      </c>
      <c r="W30" s="1">
        <f>IF(R30&gt;0, ((G30+M30)/R30)/(1-Inputs!B2), 0)</f>
        <v>0</v>
      </c>
    </row>
    <row r="31" ht="15.75" customHeight="1">
      <c r="A31" s="4"/>
      <c r="B31" s="4"/>
      <c r="C31" s="4"/>
      <c r="D31" s="4"/>
      <c r="E31" s="4"/>
      <c r="F31" s="4">
        <f t="shared" si="1"/>
        <v>0</v>
      </c>
      <c r="G31" s="4">
        <f t="shared" si="2"/>
        <v>0</v>
      </c>
      <c r="H31" s="4"/>
      <c r="I31" s="4"/>
      <c r="J31" s="4">
        <f t="shared" si="3"/>
        <v>0</v>
      </c>
      <c r="K31" s="4">
        <f t="shared" si="4"/>
        <v>0</v>
      </c>
      <c r="L31" s="4">
        <f t="shared" si="5"/>
        <v>0</v>
      </c>
      <c r="M31" s="4">
        <f>IF(SUM(C:C)&gt;0,(Inputs!B1*12/52)/SUM(C:C),0)</f>
        <v>28.84615385</v>
      </c>
      <c r="N31" s="4">
        <f t="shared" si="6"/>
        <v>0</v>
      </c>
      <c r="O31" s="4">
        <f t="shared" si="7"/>
        <v>0</v>
      </c>
      <c r="P31" s="4">
        <f t="shared" si="8"/>
        <v>0</v>
      </c>
      <c r="Q31" s="4">
        <f t="shared" si="9"/>
        <v>0</v>
      </c>
      <c r="R31" s="4">
        <f t="shared" si="10"/>
        <v>0</v>
      </c>
      <c r="S31" s="4">
        <f t="shared" si="11"/>
        <v>0</v>
      </c>
      <c r="T31" s="4">
        <f t="shared" si="12"/>
        <v>0</v>
      </c>
      <c r="U31" s="4">
        <f t="shared" si="13"/>
        <v>0</v>
      </c>
      <c r="V31" s="4">
        <f t="shared" si="14"/>
        <v>0</v>
      </c>
      <c r="W31" s="1">
        <f>IF(R31&gt;0, ((G31+M31)/R31)/(1-Inputs!B2), 0)</f>
        <v>0</v>
      </c>
    </row>
    <row r="32" ht="15.75" customHeight="1">
      <c r="A32" s="4"/>
      <c r="B32" s="4"/>
      <c r="C32" s="4"/>
      <c r="D32" s="4"/>
      <c r="E32" s="4"/>
      <c r="F32" s="4">
        <f t="shared" si="1"/>
        <v>0</v>
      </c>
      <c r="G32" s="4">
        <f t="shared" si="2"/>
        <v>0</v>
      </c>
      <c r="H32" s="4"/>
      <c r="I32" s="4"/>
      <c r="J32" s="4">
        <f t="shared" si="3"/>
        <v>0</v>
      </c>
      <c r="K32" s="4">
        <f t="shared" si="4"/>
        <v>0</v>
      </c>
      <c r="L32" s="4">
        <f t="shared" si="5"/>
        <v>0</v>
      </c>
      <c r="M32" s="4">
        <f>IF(SUM(C:C)&gt;0,(Inputs!B1*12/52)/SUM(C:C),0)</f>
        <v>28.84615385</v>
      </c>
      <c r="N32" s="4">
        <f t="shared" si="6"/>
        <v>0</v>
      </c>
      <c r="O32" s="4">
        <f t="shared" si="7"/>
        <v>0</v>
      </c>
      <c r="P32" s="4">
        <f t="shared" si="8"/>
        <v>0</v>
      </c>
      <c r="Q32" s="4">
        <f t="shared" si="9"/>
        <v>0</v>
      </c>
      <c r="R32" s="4">
        <f t="shared" si="10"/>
        <v>0</v>
      </c>
      <c r="S32" s="4">
        <f t="shared" si="11"/>
        <v>0</v>
      </c>
      <c r="T32" s="4">
        <f t="shared" si="12"/>
        <v>0</v>
      </c>
      <c r="U32" s="4">
        <f t="shared" si="13"/>
        <v>0</v>
      </c>
      <c r="V32" s="4">
        <f t="shared" si="14"/>
        <v>0</v>
      </c>
      <c r="W32" s="1">
        <f>IF(R32&gt;0, ((G32+M32)/R32)/(1-Inputs!B2), 0)</f>
        <v>0</v>
      </c>
    </row>
    <row r="33" ht="15.75" customHeight="1">
      <c r="A33" s="4"/>
      <c r="B33" s="4"/>
      <c r="C33" s="4"/>
      <c r="D33" s="4"/>
      <c r="E33" s="4"/>
      <c r="F33" s="4">
        <f t="shared" si="1"/>
        <v>0</v>
      </c>
      <c r="G33" s="4">
        <f t="shared" si="2"/>
        <v>0</v>
      </c>
      <c r="H33" s="4"/>
      <c r="I33" s="4"/>
      <c r="J33" s="4">
        <f t="shared" si="3"/>
        <v>0</v>
      </c>
      <c r="K33" s="4">
        <f t="shared" si="4"/>
        <v>0</v>
      </c>
      <c r="L33" s="4">
        <f t="shared" si="5"/>
        <v>0</v>
      </c>
      <c r="M33" s="4">
        <f>IF(SUM(C:C)&gt;0,(Inputs!B1*12/52)/SUM(C:C),0)</f>
        <v>28.84615385</v>
      </c>
      <c r="N33" s="4">
        <f t="shared" si="6"/>
        <v>0</v>
      </c>
      <c r="O33" s="4">
        <f t="shared" si="7"/>
        <v>0</v>
      </c>
      <c r="P33" s="4">
        <f t="shared" si="8"/>
        <v>0</v>
      </c>
      <c r="Q33" s="4">
        <f t="shared" si="9"/>
        <v>0</v>
      </c>
      <c r="R33" s="4">
        <f t="shared" si="10"/>
        <v>0</v>
      </c>
      <c r="S33" s="4">
        <f t="shared" si="11"/>
        <v>0</v>
      </c>
      <c r="T33" s="4">
        <f t="shared" si="12"/>
        <v>0</v>
      </c>
      <c r="U33" s="4">
        <f t="shared" si="13"/>
        <v>0</v>
      </c>
      <c r="V33" s="4">
        <f t="shared" si="14"/>
        <v>0</v>
      </c>
      <c r="W33" s="1">
        <f>IF(R33&gt;0, ((G33+M33)/R33)/(1-Inputs!B2), 0)</f>
        <v>0</v>
      </c>
    </row>
    <row r="34" ht="15.75" customHeight="1">
      <c r="A34" s="4"/>
      <c r="B34" s="4"/>
      <c r="C34" s="4"/>
      <c r="D34" s="4"/>
      <c r="E34" s="4"/>
      <c r="F34" s="4">
        <f t="shared" si="1"/>
        <v>0</v>
      </c>
      <c r="G34" s="4">
        <f t="shared" si="2"/>
        <v>0</v>
      </c>
      <c r="H34" s="4"/>
      <c r="I34" s="4"/>
      <c r="J34" s="4">
        <f t="shared" si="3"/>
        <v>0</v>
      </c>
      <c r="K34" s="4">
        <f t="shared" si="4"/>
        <v>0</v>
      </c>
      <c r="L34" s="4">
        <f t="shared" si="5"/>
        <v>0</v>
      </c>
      <c r="M34" s="4">
        <f>IF(SUM(C:C)&gt;0,(Inputs!B1*12/52)/SUM(C:C),0)</f>
        <v>28.84615385</v>
      </c>
      <c r="N34" s="4">
        <f t="shared" si="6"/>
        <v>0</v>
      </c>
      <c r="O34" s="4">
        <f t="shared" si="7"/>
        <v>0</v>
      </c>
      <c r="P34" s="4">
        <f t="shared" si="8"/>
        <v>0</v>
      </c>
      <c r="Q34" s="4">
        <f t="shared" si="9"/>
        <v>0</v>
      </c>
      <c r="R34" s="4">
        <f t="shared" si="10"/>
        <v>0</v>
      </c>
      <c r="S34" s="4">
        <f t="shared" si="11"/>
        <v>0</v>
      </c>
      <c r="T34" s="4">
        <f t="shared" si="12"/>
        <v>0</v>
      </c>
      <c r="U34" s="4">
        <f t="shared" si="13"/>
        <v>0</v>
      </c>
      <c r="V34" s="4">
        <f t="shared" si="14"/>
        <v>0</v>
      </c>
      <c r="W34" s="1">
        <f>IF(R34&gt;0, ((G34+M34)/R34)/(1-Inputs!B2), 0)</f>
        <v>0</v>
      </c>
    </row>
    <row r="35" ht="15.75" customHeight="1">
      <c r="A35" s="4"/>
      <c r="B35" s="4"/>
      <c r="C35" s="4"/>
      <c r="D35" s="4"/>
      <c r="E35" s="4"/>
      <c r="F35" s="4">
        <f t="shared" si="1"/>
        <v>0</v>
      </c>
      <c r="G35" s="4">
        <f t="shared" si="2"/>
        <v>0</v>
      </c>
      <c r="H35" s="4"/>
      <c r="I35" s="4"/>
      <c r="J35" s="4">
        <f t="shared" si="3"/>
        <v>0</v>
      </c>
      <c r="K35" s="4">
        <f t="shared" si="4"/>
        <v>0</v>
      </c>
      <c r="L35" s="4">
        <f t="shared" si="5"/>
        <v>0</v>
      </c>
      <c r="M35" s="4">
        <f>IF(SUM(C:C)&gt;0,(Inputs!B1*12/52)/SUM(C:C),0)</f>
        <v>28.84615385</v>
      </c>
      <c r="N35" s="4">
        <f t="shared" si="6"/>
        <v>0</v>
      </c>
      <c r="O35" s="4">
        <f t="shared" si="7"/>
        <v>0</v>
      </c>
      <c r="P35" s="4">
        <f t="shared" si="8"/>
        <v>0</v>
      </c>
      <c r="Q35" s="4">
        <f t="shared" si="9"/>
        <v>0</v>
      </c>
      <c r="R35" s="4">
        <f t="shared" si="10"/>
        <v>0</v>
      </c>
      <c r="S35" s="4">
        <f t="shared" si="11"/>
        <v>0</v>
      </c>
      <c r="T35" s="4">
        <f t="shared" si="12"/>
        <v>0</v>
      </c>
      <c r="U35" s="4">
        <f t="shared" si="13"/>
        <v>0</v>
      </c>
      <c r="V35" s="4">
        <f t="shared" si="14"/>
        <v>0</v>
      </c>
      <c r="W35" s="1">
        <f>IF(R35&gt;0, ((G35+M35)/R35)/(1-Inputs!B2), 0)</f>
        <v>0</v>
      </c>
    </row>
    <row r="36" ht="15.75" customHeight="1">
      <c r="A36" s="4"/>
      <c r="B36" s="4"/>
      <c r="C36" s="4"/>
      <c r="D36" s="4"/>
      <c r="E36" s="4"/>
      <c r="F36" s="4">
        <f t="shared" si="1"/>
        <v>0</v>
      </c>
      <c r="G36" s="4">
        <f t="shared" si="2"/>
        <v>0</v>
      </c>
      <c r="H36" s="4"/>
      <c r="I36" s="4"/>
      <c r="J36" s="4">
        <f t="shared" si="3"/>
        <v>0</v>
      </c>
      <c r="K36" s="4">
        <f t="shared" si="4"/>
        <v>0</v>
      </c>
      <c r="L36" s="4">
        <f t="shared" si="5"/>
        <v>0</v>
      </c>
      <c r="M36" s="4">
        <f>IF(SUM(C:C)&gt;0,(Inputs!B1*12/52)/SUM(C:C),0)</f>
        <v>28.84615385</v>
      </c>
      <c r="N36" s="4">
        <f t="shared" si="6"/>
        <v>0</v>
      </c>
      <c r="O36" s="4">
        <f t="shared" si="7"/>
        <v>0</v>
      </c>
      <c r="P36" s="4">
        <f t="shared" si="8"/>
        <v>0</v>
      </c>
      <c r="Q36" s="4">
        <f t="shared" si="9"/>
        <v>0</v>
      </c>
      <c r="R36" s="4">
        <f t="shared" si="10"/>
        <v>0</v>
      </c>
      <c r="S36" s="4">
        <f t="shared" si="11"/>
        <v>0</v>
      </c>
      <c r="T36" s="4">
        <f t="shared" si="12"/>
        <v>0</v>
      </c>
      <c r="U36" s="4">
        <f t="shared" si="13"/>
        <v>0</v>
      </c>
      <c r="V36" s="4">
        <f t="shared" si="14"/>
        <v>0</v>
      </c>
      <c r="W36" s="1">
        <f>IF(R36&gt;0, ((G36+M36)/R36)/(1-Inputs!B2), 0)</f>
        <v>0</v>
      </c>
    </row>
    <row r="37" ht="15.75" customHeight="1">
      <c r="A37" s="4"/>
      <c r="B37" s="4"/>
      <c r="C37" s="4"/>
      <c r="D37" s="4"/>
      <c r="E37" s="4"/>
      <c r="F37" s="4">
        <f t="shared" si="1"/>
        <v>0</v>
      </c>
      <c r="G37" s="4">
        <f t="shared" si="2"/>
        <v>0</v>
      </c>
      <c r="H37" s="4"/>
      <c r="I37" s="4"/>
      <c r="J37" s="4">
        <f t="shared" si="3"/>
        <v>0</v>
      </c>
      <c r="K37" s="4">
        <f t="shared" si="4"/>
        <v>0</v>
      </c>
      <c r="L37" s="4">
        <f t="shared" si="5"/>
        <v>0</v>
      </c>
      <c r="M37" s="4">
        <f>IF(SUM(C:C)&gt;0,(Inputs!B1*12/52)/SUM(C:C),0)</f>
        <v>28.84615385</v>
      </c>
      <c r="N37" s="4">
        <f t="shared" si="6"/>
        <v>0</v>
      </c>
      <c r="O37" s="4">
        <f t="shared" si="7"/>
        <v>0</v>
      </c>
      <c r="P37" s="4">
        <f t="shared" si="8"/>
        <v>0</v>
      </c>
      <c r="Q37" s="4">
        <f t="shared" si="9"/>
        <v>0</v>
      </c>
      <c r="R37" s="4">
        <f t="shared" si="10"/>
        <v>0</v>
      </c>
      <c r="S37" s="4">
        <f t="shared" si="11"/>
        <v>0</v>
      </c>
      <c r="T37" s="4">
        <f t="shared" si="12"/>
        <v>0</v>
      </c>
      <c r="U37" s="4">
        <f t="shared" si="13"/>
        <v>0</v>
      </c>
      <c r="V37" s="4">
        <f t="shared" si="14"/>
        <v>0</v>
      </c>
      <c r="W37" s="1">
        <f>IF(R37&gt;0, ((G37+M37)/R37)/(1-Inputs!B2), 0)</f>
        <v>0</v>
      </c>
    </row>
    <row r="38" ht="15.75" customHeight="1">
      <c r="A38" s="4"/>
      <c r="B38" s="4"/>
      <c r="C38" s="4"/>
      <c r="D38" s="4"/>
      <c r="E38" s="4"/>
      <c r="F38" s="4">
        <f t="shared" si="1"/>
        <v>0</v>
      </c>
      <c r="G38" s="4">
        <f t="shared" si="2"/>
        <v>0</v>
      </c>
      <c r="H38" s="4"/>
      <c r="I38" s="4"/>
      <c r="J38" s="4">
        <f t="shared" si="3"/>
        <v>0</v>
      </c>
      <c r="K38" s="4">
        <f t="shared" si="4"/>
        <v>0</v>
      </c>
      <c r="L38" s="4">
        <f t="shared" si="5"/>
        <v>0</v>
      </c>
      <c r="M38" s="4">
        <f>IF(SUM(C:C)&gt;0,(Inputs!B1*12/52)/SUM(C:C),0)</f>
        <v>28.84615385</v>
      </c>
      <c r="N38" s="4">
        <f t="shared" si="6"/>
        <v>0</v>
      </c>
      <c r="O38" s="4">
        <f t="shared" si="7"/>
        <v>0</v>
      </c>
      <c r="P38" s="4">
        <f t="shared" si="8"/>
        <v>0</v>
      </c>
      <c r="Q38" s="4">
        <f t="shared" si="9"/>
        <v>0</v>
      </c>
      <c r="R38" s="4">
        <f t="shared" si="10"/>
        <v>0</v>
      </c>
      <c r="S38" s="4">
        <f t="shared" si="11"/>
        <v>0</v>
      </c>
      <c r="T38" s="4">
        <f t="shared" si="12"/>
        <v>0</v>
      </c>
      <c r="U38" s="4">
        <f t="shared" si="13"/>
        <v>0</v>
      </c>
      <c r="V38" s="4">
        <f t="shared" si="14"/>
        <v>0</v>
      </c>
      <c r="W38" s="1">
        <f>IF(R38&gt;0, ((G38+M38)/R38)/(1-Inputs!B2), 0)</f>
        <v>0</v>
      </c>
    </row>
    <row r="39" ht="15.75" customHeight="1">
      <c r="A39" s="4"/>
      <c r="B39" s="4"/>
      <c r="C39" s="4"/>
      <c r="D39" s="4"/>
      <c r="E39" s="4"/>
      <c r="F39" s="4">
        <f t="shared" si="1"/>
        <v>0</v>
      </c>
      <c r="G39" s="4">
        <f t="shared" si="2"/>
        <v>0</v>
      </c>
      <c r="H39" s="4"/>
      <c r="I39" s="4"/>
      <c r="J39" s="4">
        <f t="shared" si="3"/>
        <v>0</v>
      </c>
      <c r="K39" s="4">
        <f t="shared" si="4"/>
        <v>0</v>
      </c>
      <c r="L39" s="4">
        <f t="shared" si="5"/>
        <v>0</v>
      </c>
      <c r="M39" s="4">
        <f>IF(SUM(C:C)&gt;0,(Inputs!B1*12/52)/SUM(C:C),0)</f>
        <v>28.84615385</v>
      </c>
      <c r="N39" s="4">
        <f t="shared" si="6"/>
        <v>0</v>
      </c>
      <c r="O39" s="4">
        <f t="shared" si="7"/>
        <v>0</v>
      </c>
      <c r="P39" s="4">
        <f t="shared" si="8"/>
        <v>0</v>
      </c>
      <c r="Q39" s="4">
        <f t="shared" si="9"/>
        <v>0</v>
      </c>
      <c r="R39" s="4">
        <f t="shared" si="10"/>
        <v>0</v>
      </c>
      <c r="S39" s="4">
        <f t="shared" si="11"/>
        <v>0</v>
      </c>
      <c r="T39" s="4">
        <f t="shared" si="12"/>
        <v>0</v>
      </c>
      <c r="U39" s="4">
        <f t="shared" si="13"/>
        <v>0</v>
      </c>
      <c r="V39" s="4">
        <f t="shared" si="14"/>
        <v>0</v>
      </c>
      <c r="W39" s="1">
        <f>IF(R39&gt;0, ((G39+M39)/R39)/(1-Inputs!B2), 0)</f>
        <v>0</v>
      </c>
    </row>
    <row r="40" ht="15.75" customHeight="1">
      <c r="A40" s="4"/>
      <c r="B40" s="4"/>
      <c r="C40" s="4"/>
      <c r="D40" s="4"/>
      <c r="E40" s="4"/>
      <c r="F40" s="4">
        <f t="shared" si="1"/>
        <v>0</v>
      </c>
      <c r="G40" s="4">
        <f t="shared" si="2"/>
        <v>0</v>
      </c>
      <c r="H40" s="4"/>
      <c r="I40" s="4"/>
      <c r="J40" s="4">
        <f t="shared" si="3"/>
        <v>0</v>
      </c>
      <c r="K40" s="4">
        <f t="shared" si="4"/>
        <v>0</v>
      </c>
      <c r="L40" s="4">
        <f t="shared" si="5"/>
        <v>0</v>
      </c>
      <c r="M40" s="4">
        <f>IF(SUM(C:C)&gt;0,(Inputs!B1*12/52)/SUM(C:C),0)</f>
        <v>28.84615385</v>
      </c>
      <c r="N40" s="4">
        <f t="shared" si="6"/>
        <v>0</v>
      </c>
      <c r="O40" s="4">
        <f t="shared" si="7"/>
        <v>0</v>
      </c>
      <c r="P40" s="4">
        <f t="shared" si="8"/>
        <v>0</v>
      </c>
      <c r="Q40" s="4">
        <f t="shared" si="9"/>
        <v>0</v>
      </c>
      <c r="R40" s="4">
        <f t="shared" si="10"/>
        <v>0</v>
      </c>
      <c r="S40" s="4">
        <f t="shared" si="11"/>
        <v>0</v>
      </c>
      <c r="T40" s="4">
        <f t="shared" si="12"/>
        <v>0</v>
      </c>
      <c r="U40" s="4">
        <f t="shared" si="13"/>
        <v>0</v>
      </c>
      <c r="V40" s="4">
        <f t="shared" si="14"/>
        <v>0</v>
      </c>
      <c r="W40" s="1">
        <f>IF(R40&gt;0, ((G40+M40)/R40)/(1-Inputs!B2), 0)</f>
        <v>0</v>
      </c>
    </row>
    <row r="41" ht="15.75" customHeight="1">
      <c r="A41" s="4"/>
      <c r="B41" s="4"/>
      <c r="C41" s="4"/>
      <c r="D41" s="4"/>
      <c r="E41" s="4"/>
      <c r="F41" s="4">
        <f t="shared" si="1"/>
        <v>0</v>
      </c>
      <c r="G41" s="4">
        <f t="shared" si="2"/>
        <v>0</v>
      </c>
      <c r="H41" s="4"/>
      <c r="I41" s="4"/>
      <c r="J41" s="4">
        <f t="shared" si="3"/>
        <v>0</v>
      </c>
      <c r="K41" s="4">
        <f t="shared" si="4"/>
        <v>0</v>
      </c>
      <c r="L41" s="4">
        <f t="shared" si="5"/>
        <v>0</v>
      </c>
      <c r="M41" s="4">
        <f>IF(SUM(C:C)&gt;0,(Inputs!B1*12/52)/SUM(C:C),0)</f>
        <v>28.84615385</v>
      </c>
      <c r="N41" s="4">
        <f t="shared" si="6"/>
        <v>0</v>
      </c>
      <c r="O41" s="4">
        <f t="shared" si="7"/>
        <v>0</v>
      </c>
      <c r="P41" s="4">
        <f t="shared" si="8"/>
        <v>0</v>
      </c>
      <c r="Q41" s="4">
        <f t="shared" si="9"/>
        <v>0</v>
      </c>
      <c r="R41" s="4">
        <f t="shared" si="10"/>
        <v>0</v>
      </c>
      <c r="S41" s="4">
        <f t="shared" si="11"/>
        <v>0</v>
      </c>
      <c r="T41" s="4">
        <f t="shared" si="12"/>
        <v>0</v>
      </c>
      <c r="U41" s="4">
        <f t="shared" si="13"/>
        <v>0</v>
      </c>
      <c r="V41" s="4">
        <f t="shared" si="14"/>
        <v>0</v>
      </c>
      <c r="W41" s="1">
        <f>IF(R41&gt;0, ((G41+M41)/R41)/(1-Inputs!B2), 0)</f>
        <v>0</v>
      </c>
    </row>
    <row r="42" ht="15.75" customHeight="1">
      <c r="A42" s="4"/>
      <c r="B42" s="4"/>
      <c r="C42" s="4"/>
      <c r="D42" s="4"/>
      <c r="E42" s="4"/>
      <c r="F42" s="4">
        <f t="shared" si="1"/>
        <v>0</v>
      </c>
      <c r="G42" s="4">
        <f t="shared" si="2"/>
        <v>0</v>
      </c>
      <c r="H42" s="4"/>
      <c r="I42" s="4"/>
      <c r="J42" s="4">
        <f t="shared" si="3"/>
        <v>0</v>
      </c>
      <c r="K42" s="4">
        <f t="shared" si="4"/>
        <v>0</v>
      </c>
      <c r="L42" s="4">
        <f t="shared" si="5"/>
        <v>0</v>
      </c>
      <c r="M42" s="4">
        <f>IF(SUM(C:C)&gt;0,(Inputs!B1*12/52)/SUM(C:C),0)</f>
        <v>28.84615385</v>
      </c>
      <c r="N42" s="4">
        <f t="shared" si="6"/>
        <v>0</v>
      </c>
      <c r="O42" s="4">
        <f t="shared" si="7"/>
        <v>0</v>
      </c>
      <c r="P42" s="4">
        <f t="shared" si="8"/>
        <v>0</v>
      </c>
      <c r="Q42" s="4">
        <f t="shared" si="9"/>
        <v>0</v>
      </c>
      <c r="R42" s="4">
        <f t="shared" si="10"/>
        <v>0</v>
      </c>
      <c r="S42" s="4">
        <f t="shared" si="11"/>
        <v>0</v>
      </c>
      <c r="T42" s="4">
        <f t="shared" si="12"/>
        <v>0</v>
      </c>
      <c r="U42" s="4">
        <f t="shared" si="13"/>
        <v>0</v>
      </c>
      <c r="V42" s="4">
        <f t="shared" si="14"/>
        <v>0</v>
      </c>
      <c r="W42" s="1">
        <f>IF(R42&gt;0, ((G42+M42)/R42)/(1-Inputs!B2), 0)</f>
        <v>0</v>
      </c>
    </row>
    <row r="43" ht="15.75" customHeight="1">
      <c r="A43" s="4"/>
      <c r="B43" s="4"/>
      <c r="C43" s="4"/>
      <c r="D43" s="4"/>
      <c r="E43" s="4"/>
      <c r="F43" s="4">
        <f t="shared" si="1"/>
        <v>0</v>
      </c>
      <c r="G43" s="4">
        <f t="shared" si="2"/>
        <v>0</v>
      </c>
      <c r="H43" s="4"/>
      <c r="I43" s="4"/>
      <c r="J43" s="4">
        <f t="shared" si="3"/>
        <v>0</v>
      </c>
      <c r="K43" s="4">
        <f t="shared" si="4"/>
        <v>0</v>
      </c>
      <c r="L43" s="4">
        <f t="shared" si="5"/>
        <v>0</v>
      </c>
      <c r="M43" s="4">
        <f>IF(SUM(C:C)&gt;0,(Inputs!B1*12/52)/SUM(C:C),0)</f>
        <v>28.84615385</v>
      </c>
      <c r="N43" s="4">
        <f t="shared" si="6"/>
        <v>0</v>
      </c>
      <c r="O43" s="4">
        <f t="shared" si="7"/>
        <v>0</v>
      </c>
      <c r="P43" s="4">
        <f t="shared" si="8"/>
        <v>0</v>
      </c>
      <c r="Q43" s="4">
        <f t="shared" si="9"/>
        <v>0</v>
      </c>
      <c r="R43" s="4">
        <f t="shared" si="10"/>
        <v>0</v>
      </c>
      <c r="S43" s="4">
        <f t="shared" si="11"/>
        <v>0</v>
      </c>
      <c r="T43" s="4">
        <f t="shared" si="12"/>
        <v>0</v>
      </c>
      <c r="U43" s="4">
        <f t="shared" si="13"/>
        <v>0</v>
      </c>
      <c r="V43" s="4">
        <f t="shared" si="14"/>
        <v>0</v>
      </c>
      <c r="W43" s="1">
        <f>IF(R43&gt;0, ((G43+M43)/R43)/(1-Inputs!B2), 0)</f>
        <v>0</v>
      </c>
    </row>
    <row r="44" ht="15.75" customHeight="1">
      <c r="A44" s="4"/>
      <c r="B44" s="4"/>
      <c r="C44" s="4"/>
      <c r="D44" s="4"/>
      <c r="E44" s="4"/>
      <c r="F44" s="4">
        <f t="shared" si="1"/>
        <v>0</v>
      </c>
      <c r="G44" s="4">
        <f t="shared" si="2"/>
        <v>0</v>
      </c>
      <c r="H44" s="4"/>
      <c r="I44" s="4"/>
      <c r="J44" s="4">
        <f t="shared" si="3"/>
        <v>0</v>
      </c>
      <c r="K44" s="4">
        <f t="shared" si="4"/>
        <v>0</v>
      </c>
      <c r="L44" s="4">
        <f t="shared" si="5"/>
        <v>0</v>
      </c>
      <c r="M44" s="4">
        <f>IF(SUM(C:C)&gt;0,(Inputs!B1*12/52)/SUM(C:C),0)</f>
        <v>28.84615385</v>
      </c>
      <c r="N44" s="4">
        <f t="shared" si="6"/>
        <v>0</v>
      </c>
      <c r="O44" s="4">
        <f t="shared" si="7"/>
        <v>0</v>
      </c>
      <c r="P44" s="4">
        <f t="shared" si="8"/>
        <v>0</v>
      </c>
      <c r="Q44" s="4">
        <f t="shared" si="9"/>
        <v>0</v>
      </c>
      <c r="R44" s="4">
        <f t="shared" si="10"/>
        <v>0</v>
      </c>
      <c r="S44" s="4">
        <f t="shared" si="11"/>
        <v>0</v>
      </c>
      <c r="T44" s="4">
        <f t="shared" si="12"/>
        <v>0</v>
      </c>
      <c r="U44" s="4">
        <f t="shared" si="13"/>
        <v>0</v>
      </c>
      <c r="V44" s="4">
        <f t="shared" si="14"/>
        <v>0</v>
      </c>
      <c r="W44" s="1">
        <f>IF(R44&gt;0, ((G44+M44)/R44)/(1-Inputs!B2), 0)</f>
        <v>0</v>
      </c>
    </row>
    <row r="45" ht="15.75" customHeight="1">
      <c r="A45" s="4"/>
      <c r="B45" s="4"/>
      <c r="C45" s="4"/>
      <c r="D45" s="4"/>
      <c r="E45" s="4"/>
      <c r="F45" s="4">
        <f t="shared" si="1"/>
        <v>0</v>
      </c>
      <c r="G45" s="4">
        <f t="shared" si="2"/>
        <v>0</v>
      </c>
      <c r="H45" s="4"/>
      <c r="I45" s="4"/>
      <c r="J45" s="4">
        <f t="shared" si="3"/>
        <v>0</v>
      </c>
      <c r="K45" s="4">
        <f t="shared" si="4"/>
        <v>0</v>
      </c>
      <c r="L45" s="4">
        <f t="shared" si="5"/>
        <v>0</v>
      </c>
      <c r="M45" s="4">
        <f>IF(SUM(C:C)&gt;0,(Inputs!B1*12/52)/SUM(C:C),0)</f>
        <v>28.84615385</v>
      </c>
      <c r="N45" s="4">
        <f t="shared" si="6"/>
        <v>0</v>
      </c>
      <c r="O45" s="4">
        <f t="shared" si="7"/>
        <v>0</v>
      </c>
      <c r="P45" s="4">
        <f t="shared" si="8"/>
        <v>0</v>
      </c>
      <c r="Q45" s="4">
        <f t="shared" si="9"/>
        <v>0</v>
      </c>
      <c r="R45" s="4">
        <f t="shared" si="10"/>
        <v>0</v>
      </c>
      <c r="S45" s="4">
        <f t="shared" si="11"/>
        <v>0</v>
      </c>
      <c r="T45" s="4">
        <f t="shared" si="12"/>
        <v>0</v>
      </c>
      <c r="U45" s="4">
        <f t="shared" si="13"/>
        <v>0</v>
      </c>
      <c r="V45" s="4">
        <f t="shared" si="14"/>
        <v>0</v>
      </c>
      <c r="W45" s="1">
        <f>IF(R45&gt;0, ((G45+M45)/R45)/(1-Inputs!B2), 0)</f>
        <v>0</v>
      </c>
    </row>
    <row r="46" ht="15.75" customHeight="1">
      <c r="A46" s="4"/>
      <c r="B46" s="4"/>
      <c r="C46" s="4"/>
      <c r="D46" s="4"/>
      <c r="E46" s="4"/>
      <c r="F46" s="4">
        <f t="shared" si="1"/>
        <v>0</v>
      </c>
      <c r="G46" s="4">
        <f t="shared" si="2"/>
        <v>0</v>
      </c>
      <c r="H46" s="4"/>
      <c r="I46" s="4"/>
      <c r="J46" s="4">
        <f t="shared" si="3"/>
        <v>0</v>
      </c>
      <c r="K46" s="4">
        <f t="shared" si="4"/>
        <v>0</v>
      </c>
      <c r="L46" s="4">
        <f t="shared" si="5"/>
        <v>0</v>
      </c>
      <c r="M46" s="4">
        <f>IF(SUM(C:C)&gt;0,(Inputs!B1*12/52)/SUM(C:C),0)</f>
        <v>28.84615385</v>
      </c>
      <c r="N46" s="4">
        <f t="shared" si="6"/>
        <v>0</v>
      </c>
      <c r="O46" s="4">
        <f t="shared" si="7"/>
        <v>0</v>
      </c>
      <c r="P46" s="4">
        <f t="shared" si="8"/>
        <v>0</v>
      </c>
      <c r="Q46" s="4">
        <f t="shared" si="9"/>
        <v>0</v>
      </c>
      <c r="R46" s="4">
        <f t="shared" si="10"/>
        <v>0</v>
      </c>
      <c r="S46" s="4">
        <f t="shared" si="11"/>
        <v>0</v>
      </c>
      <c r="T46" s="4">
        <f t="shared" si="12"/>
        <v>0</v>
      </c>
      <c r="U46" s="4">
        <f t="shared" si="13"/>
        <v>0</v>
      </c>
      <c r="V46" s="4">
        <f t="shared" si="14"/>
        <v>0</v>
      </c>
      <c r="W46" s="1">
        <f>IF(R46&gt;0, ((G46+M46)/R46)/(1-Inputs!B2), 0)</f>
        <v>0</v>
      </c>
    </row>
    <row r="47" ht="15.75" customHeight="1">
      <c r="A47" s="4"/>
      <c r="B47" s="4"/>
      <c r="C47" s="4"/>
      <c r="D47" s="4"/>
      <c r="E47" s="4"/>
      <c r="F47" s="4">
        <f t="shared" si="1"/>
        <v>0</v>
      </c>
      <c r="G47" s="4">
        <f t="shared" si="2"/>
        <v>0</v>
      </c>
      <c r="H47" s="4"/>
      <c r="I47" s="4"/>
      <c r="J47" s="4">
        <f t="shared" si="3"/>
        <v>0</v>
      </c>
      <c r="K47" s="4">
        <f t="shared" si="4"/>
        <v>0</v>
      </c>
      <c r="L47" s="4">
        <f t="shared" si="5"/>
        <v>0</v>
      </c>
      <c r="M47" s="4">
        <f>IF(SUM(C:C)&gt;0,(Inputs!B1*12/52)/SUM(C:C),0)</f>
        <v>28.84615385</v>
      </c>
      <c r="N47" s="4">
        <f t="shared" si="6"/>
        <v>0</v>
      </c>
      <c r="O47" s="4">
        <f t="shared" si="7"/>
        <v>0</v>
      </c>
      <c r="P47" s="4">
        <f t="shared" si="8"/>
        <v>0</v>
      </c>
      <c r="Q47" s="4">
        <f t="shared" si="9"/>
        <v>0</v>
      </c>
      <c r="R47" s="4">
        <f t="shared" si="10"/>
        <v>0</v>
      </c>
      <c r="S47" s="4">
        <f t="shared" si="11"/>
        <v>0</v>
      </c>
      <c r="T47" s="4">
        <f t="shared" si="12"/>
        <v>0</v>
      </c>
      <c r="U47" s="4">
        <f t="shared" si="13"/>
        <v>0</v>
      </c>
      <c r="V47" s="4">
        <f t="shared" si="14"/>
        <v>0</v>
      </c>
      <c r="W47" s="1">
        <f>IF(R47&gt;0, ((G47+M47)/R47)/(1-Inputs!B2), 0)</f>
        <v>0</v>
      </c>
    </row>
    <row r="48" ht="15.75" customHeight="1">
      <c r="A48" s="4"/>
      <c r="B48" s="4"/>
      <c r="C48" s="4"/>
      <c r="D48" s="4"/>
      <c r="E48" s="4"/>
      <c r="F48" s="4">
        <f t="shared" si="1"/>
        <v>0</v>
      </c>
      <c r="G48" s="4">
        <f t="shared" si="2"/>
        <v>0</v>
      </c>
      <c r="H48" s="4"/>
      <c r="I48" s="4"/>
      <c r="J48" s="4">
        <f t="shared" si="3"/>
        <v>0</v>
      </c>
      <c r="K48" s="4">
        <f t="shared" si="4"/>
        <v>0</v>
      </c>
      <c r="L48" s="4">
        <f t="shared" si="5"/>
        <v>0</v>
      </c>
      <c r="M48" s="4">
        <f>IF(SUM(C:C)&gt;0,(Inputs!B1*12/52)/SUM(C:C),0)</f>
        <v>28.84615385</v>
      </c>
      <c r="N48" s="4">
        <f t="shared" si="6"/>
        <v>0</v>
      </c>
      <c r="O48" s="4">
        <f t="shared" si="7"/>
        <v>0</v>
      </c>
      <c r="P48" s="4">
        <f t="shared" si="8"/>
        <v>0</v>
      </c>
      <c r="Q48" s="4">
        <f t="shared" si="9"/>
        <v>0</v>
      </c>
      <c r="R48" s="4">
        <f t="shared" si="10"/>
        <v>0</v>
      </c>
      <c r="S48" s="4">
        <f t="shared" si="11"/>
        <v>0</v>
      </c>
      <c r="T48" s="4">
        <f t="shared" si="12"/>
        <v>0</v>
      </c>
      <c r="U48" s="4">
        <f t="shared" si="13"/>
        <v>0</v>
      </c>
      <c r="V48" s="4">
        <f t="shared" si="14"/>
        <v>0</v>
      </c>
      <c r="W48" s="1">
        <f>IF(R48&gt;0, ((G48+M48)/R48)/(1-Inputs!B2), 0)</f>
        <v>0</v>
      </c>
    </row>
    <row r="49" ht="15.75" customHeight="1">
      <c r="A49" s="4"/>
      <c r="B49" s="4"/>
      <c r="C49" s="4"/>
      <c r="D49" s="4"/>
      <c r="E49" s="4"/>
      <c r="F49" s="4">
        <f t="shared" si="1"/>
        <v>0</v>
      </c>
      <c r="G49" s="4">
        <f t="shared" si="2"/>
        <v>0</v>
      </c>
      <c r="H49" s="4"/>
      <c r="I49" s="4"/>
      <c r="J49" s="4">
        <f t="shared" si="3"/>
        <v>0</v>
      </c>
      <c r="K49" s="4">
        <f t="shared" si="4"/>
        <v>0</v>
      </c>
      <c r="L49" s="4">
        <f t="shared" si="5"/>
        <v>0</v>
      </c>
      <c r="M49" s="4">
        <f>IF(SUM(C:C)&gt;0,(Inputs!B1*12/52)/SUM(C:C),0)</f>
        <v>28.84615385</v>
      </c>
      <c r="N49" s="4">
        <f t="shared" si="6"/>
        <v>0</v>
      </c>
      <c r="O49" s="4">
        <f t="shared" si="7"/>
        <v>0</v>
      </c>
      <c r="P49" s="4">
        <f t="shared" si="8"/>
        <v>0</v>
      </c>
      <c r="Q49" s="4">
        <f t="shared" si="9"/>
        <v>0</v>
      </c>
      <c r="R49" s="4">
        <f t="shared" si="10"/>
        <v>0</v>
      </c>
      <c r="S49" s="4">
        <f t="shared" si="11"/>
        <v>0</v>
      </c>
      <c r="T49" s="4">
        <f t="shared" si="12"/>
        <v>0</v>
      </c>
      <c r="U49" s="4">
        <f t="shared" si="13"/>
        <v>0</v>
      </c>
      <c r="V49" s="4">
        <f t="shared" si="14"/>
        <v>0</v>
      </c>
      <c r="W49" s="1">
        <f>IF(R49&gt;0, ((G49+M49)/R49)/(1-Inputs!B2), 0)</f>
        <v>0</v>
      </c>
    </row>
    <row r="50" ht="15.75" customHeight="1">
      <c r="A50" s="4"/>
      <c r="B50" s="4"/>
      <c r="C50" s="4"/>
      <c r="D50" s="4"/>
      <c r="E50" s="4"/>
      <c r="F50" s="4">
        <f t="shared" si="1"/>
        <v>0</v>
      </c>
      <c r="G50" s="4">
        <f t="shared" si="2"/>
        <v>0</v>
      </c>
      <c r="H50" s="4"/>
      <c r="I50" s="4"/>
      <c r="J50" s="4">
        <f t="shared" si="3"/>
        <v>0</v>
      </c>
      <c r="K50" s="4">
        <f t="shared" si="4"/>
        <v>0</v>
      </c>
      <c r="L50" s="4">
        <f t="shared" si="5"/>
        <v>0</v>
      </c>
      <c r="M50" s="4">
        <f>IF(SUM(C:C)&gt;0,(Inputs!B1*12/52)/SUM(C:C),0)</f>
        <v>28.84615385</v>
      </c>
      <c r="N50" s="4">
        <f t="shared" si="6"/>
        <v>0</v>
      </c>
      <c r="O50" s="4">
        <f t="shared" si="7"/>
        <v>0</v>
      </c>
      <c r="P50" s="4">
        <f t="shared" si="8"/>
        <v>0</v>
      </c>
      <c r="Q50" s="4">
        <f t="shared" si="9"/>
        <v>0</v>
      </c>
      <c r="R50" s="4">
        <f t="shared" si="10"/>
        <v>0</v>
      </c>
      <c r="S50" s="4">
        <f t="shared" si="11"/>
        <v>0</v>
      </c>
      <c r="T50" s="4">
        <f t="shared" si="12"/>
        <v>0</v>
      </c>
      <c r="U50" s="4">
        <f t="shared" si="13"/>
        <v>0</v>
      </c>
      <c r="V50" s="4">
        <f t="shared" si="14"/>
        <v>0</v>
      </c>
      <c r="W50" s="1">
        <f>IF(R50&gt;0, ((G50+M50)/R50)/(1-Inputs!B2), 0)</f>
        <v>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5" width="12.0"/>
    <col customWidth="1" min="6" max="6" width="16.0"/>
    <col customWidth="1" min="7" max="10" width="14.0"/>
    <col customWidth="1" min="11" max="26" width="8.71"/>
  </cols>
  <sheetData>
    <row r="1">
      <c r="A1" s="3" t="s">
        <v>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21</v>
      </c>
    </row>
    <row r="2">
      <c r="A2" s="4" t="s">
        <v>28</v>
      </c>
      <c r="B2" s="4">
        <f t="array" ref="B2">IFERROR(INDEX(Resources!H:H, MATCH(A2, Resources!A:A, 0)),0)</f>
        <v>125</v>
      </c>
      <c r="C2" s="4">
        <f t="array" ref="C2">IFERROR(INDEX(Resources!C:C, MATCH(A2, Resources!A:A, 0)),0)</f>
        <v>40</v>
      </c>
      <c r="D2" s="4">
        <f t="array" ref="D2">IFERROR(INDEX(Resources!G:G, MATCH(A2, Resources!A:A, 0)),0)</f>
        <v>35</v>
      </c>
      <c r="E2" s="4">
        <f t="array" ref="E2">IFERROR(INDEX(Resources!M:M, MATCH(A2, Resources!A:A, 0)),0)</f>
        <v>28.84615385</v>
      </c>
      <c r="F2" s="4">
        <f t="array" ref="F2">IFERROR(INDEX(Resources!O:O, MATCH(A2, Resources!A:A, 0)),0)</f>
        <v>2553.846154</v>
      </c>
      <c r="G2" s="4">
        <v>10.0</v>
      </c>
      <c r="H2" s="4">
        <f t="shared" ref="H2:H5" si="1">B2*G2</f>
        <v>1250</v>
      </c>
      <c r="I2" s="4">
        <f t="shared" ref="I2:I5" si="2">H2-F2</f>
        <v>-1303.846154</v>
      </c>
      <c r="J2" s="4">
        <f t="shared" ref="J2:J5" si="3">IF(H2&gt;0,I2/H2,0)</f>
        <v>-1.043076923</v>
      </c>
    </row>
    <row r="3">
      <c r="A3" s="4"/>
      <c r="B3" s="4">
        <f t="array" ref="B3">IFERROR(INDEX(Resources!H:H, MATCH(A3, Resources!A:A, 0)),0)</f>
        <v>0</v>
      </c>
      <c r="C3" s="4">
        <f t="array" ref="C3">IFERROR(INDEX(Resources!C:C, MATCH(A3, Resources!A:A, 0)),0)</f>
        <v>0</v>
      </c>
      <c r="D3" s="4">
        <f t="array" ref="D3">IFERROR(INDEX(Resources!G:G, MATCH(A3, Resources!A:A, 0)),0)</f>
        <v>0</v>
      </c>
      <c r="E3" s="4">
        <f t="array" ref="E3">IFERROR(INDEX(Resources!M:M, MATCH(A3, Resources!A:A, 0)),0)</f>
        <v>0</v>
      </c>
      <c r="F3" s="4">
        <f t="array" ref="F3">IFERROR(INDEX(Resources!O:O, MATCH(A3, Resources!A:A, 0)),0)</f>
        <v>0</v>
      </c>
      <c r="G3" s="4">
        <v>20.0</v>
      </c>
      <c r="H3" s="4">
        <f t="shared" si="1"/>
        <v>0</v>
      </c>
      <c r="I3" s="4">
        <f t="shared" si="2"/>
        <v>0</v>
      </c>
      <c r="J3" s="4">
        <f t="shared" si="3"/>
        <v>0</v>
      </c>
    </row>
    <row r="4">
      <c r="A4" s="4"/>
      <c r="B4" s="4">
        <f t="array" ref="B4">IFERROR(INDEX(Resources!H:H, MATCH(A4, Resources!A:A, 0)),0)</f>
        <v>0</v>
      </c>
      <c r="C4" s="4">
        <f t="array" ref="C4">IFERROR(INDEX(Resources!C:C, MATCH(A4, Resources!A:A, 0)),0)</f>
        <v>0</v>
      </c>
      <c r="D4" s="4">
        <f t="array" ref="D4">IFERROR(INDEX(Resources!G:G, MATCH(A4, Resources!A:A, 0)),0)</f>
        <v>0</v>
      </c>
      <c r="E4" s="4">
        <f t="array" ref="E4">IFERROR(INDEX(Resources!M:M, MATCH(A4, Resources!A:A, 0)),0)</f>
        <v>0</v>
      </c>
      <c r="F4" s="4">
        <f t="array" ref="F4">IFERROR(INDEX(Resources!O:O, MATCH(A4, Resources!A:A, 0)),0)</f>
        <v>0</v>
      </c>
      <c r="G4" s="4">
        <v>30.0</v>
      </c>
      <c r="H4" s="4">
        <f t="shared" si="1"/>
        <v>0</v>
      </c>
      <c r="I4" s="4">
        <f t="shared" si="2"/>
        <v>0</v>
      </c>
      <c r="J4" s="4">
        <f t="shared" si="3"/>
        <v>0</v>
      </c>
    </row>
    <row r="5">
      <c r="A5" s="4"/>
      <c r="B5" s="4">
        <f t="array" ref="B5">IFERROR(INDEX(Resources!H:H, MATCH(A5, Resources!A:A, 0)),0)</f>
        <v>0</v>
      </c>
      <c r="C5" s="4">
        <f t="array" ref="C5">IFERROR(INDEX(Resources!C:C, MATCH(A5, Resources!A:A, 0)),0)</f>
        <v>0</v>
      </c>
      <c r="D5" s="4">
        <f t="array" ref="D5">IFERROR(INDEX(Resources!G:G, MATCH(A5, Resources!A:A, 0)),0)</f>
        <v>0</v>
      </c>
      <c r="E5" s="4">
        <f t="array" ref="E5">IFERROR(INDEX(Resources!M:M, MATCH(A5, Resources!A:A, 0)),0)</f>
        <v>0</v>
      </c>
      <c r="F5" s="4">
        <f t="array" ref="F5">IFERROR(INDEX(Resources!O:O, MATCH(A5, Resources!A:A, 0)),0)</f>
        <v>0</v>
      </c>
      <c r="G5" s="4">
        <v>40.0</v>
      </c>
      <c r="H5" s="4">
        <f t="shared" si="1"/>
        <v>0</v>
      </c>
      <c r="I5" s="4">
        <f t="shared" si="2"/>
        <v>0</v>
      </c>
      <c r="J5" s="4">
        <f t="shared" si="3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22.0"/>
    <col customWidth="1" min="3" max="26" width="8.71"/>
  </cols>
  <sheetData>
    <row r="1">
      <c r="A1" s="2" t="s">
        <v>44</v>
      </c>
      <c r="B1" s="2" t="s">
        <v>45</v>
      </c>
    </row>
    <row r="2">
      <c r="A2" s="4" t="s">
        <v>46</v>
      </c>
      <c r="B2" s="4">
        <f>SUM(Resources!C:C)</f>
        <v>240</v>
      </c>
    </row>
    <row r="3">
      <c r="A3" s="4" t="s">
        <v>47</v>
      </c>
      <c r="B3" s="4">
        <f>SUM(Resources!I:I)</f>
        <v>133.5</v>
      </c>
    </row>
    <row r="4">
      <c r="A4" s="4" t="s">
        <v>48</v>
      </c>
      <c r="B4" s="4" t="str">
        <f>IF(B2&gt;0,B2/A2,0)</f>
        <v>#VALUE!</v>
      </c>
    </row>
    <row r="5">
      <c r="A5" s="4" t="s">
        <v>49</v>
      </c>
      <c r="B5" s="4">
        <f>SUM(Resources!J:J)</f>
        <v>18477.5</v>
      </c>
    </row>
    <row r="6">
      <c r="A6" s="4" t="s">
        <v>50</v>
      </c>
      <c r="B6" s="4">
        <f>SUM(Resources!O:O)</f>
        <v>16423.07692</v>
      </c>
    </row>
    <row r="7">
      <c r="A7" s="4" t="s">
        <v>51</v>
      </c>
      <c r="B7" s="4">
        <f>D2-E2</f>
        <v>0</v>
      </c>
    </row>
    <row r="8">
      <c r="A8" s="4" t="s">
        <v>21</v>
      </c>
      <c r="B8" s="4">
        <f>IF(D2&gt;0,F2/D2,0)</f>
        <v>0</v>
      </c>
    </row>
    <row r="9">
      <c r="A9" s="4" t="s">
        <v>52</v>
      </c>
      <c r="B9" s="4">
        <f>SUM(Resources!S:S)</f>
        <v>26200</v>
      </c>
    </row>
    <row r="10">
      <c r="A10" s="4" t="s">
        <v>53</v>
      </c>
      <c r="B10" s="4">
        <f>H2-D2</f>
        <v>0</v>
      </c>
    </row>
    <row r="11">
      <c r="A11" s="4" t="s">
        <v>54</v>
      </c>
      <c r="B11" s="4">
        <f>SUM(Resources!U:U)</f>
        <v>9776.923077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55</v>
      </c>
      <c r="B1" s="3" t="s">
        <v>56</v>
      </c>
      <c r="C1" s="3" t="s">
        <v>57</v>
      </c>
      <c r="D1" s="3" t="s">
        <v>58</v>
      </c>
      <c r="E1" s="3" t="s">
        <v>9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</row>
    <row r="2">
      <c r="A2" s="4" t="s">
        <v>64</v>
      </c>
      <c r="B2" s="4">
        <v>8.0</v>
      </c>
      <c r="C2" s="4">
        <v>5.5</v>
      </c>
      <c r="D2" s="4">
        <v>125.0</v>
      </c>
      <c r="E2" s="4">
        <v>35.0</v>
      </c>
      <c r="F2" s="4">
        <f>IF(SUM(Resources!C:C)&gt;0,(Inputs!B1*12/260)/SUM(Resources!C:C),5)</f>
        <v>5.769230769</v>
      </c>
      <c r="G2" s="4">
        <f>C2*D2</f>
        <v>687.5</v>
      </c>
      <c r="H2" s="4">
        <f>(B2*E2)+(B2*F2)</f>
        <v>326.1538462</v>
      </c>
      <c r="I2" s="4">
        <f>G2-H2</f>
        <v>361.3461538</v>
      </c>
      <c r="J2" s="4">
        <f>IF(G2&gt;0,I2/G2,0)</f>
        <v>0.5255944056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2025-09-20T16:57:10Z</dcterms:created>
  <dc:creator>openpyxl</dc:creator>
</cp:coreProperties>
</file>